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DieseArbeitsmappe"/>
  <bookViews>
    <workbookView visibility="visible" minimized="0" showHorizontalScroll="1" showVerticalScroll="1" showSheetTabs="1" xWindow="-108" yWindow="-108" windowWidth="23256" windowHeight="12576" tabRatio="601" firstSheet="0" activeTab="0" autoFilterDateGrouping="1"/>
  </bookViews>
  <sheets>
    <sheet name="Bestand- und Nachbestellung" sheetId="1" state="visible" r:id="rId1"/>
    <sheet name="zu Bestellen" sheetId="2" state="visible" r:id="rId2"/>
    <sheet name="bestellt" sheetId="3" state="visible" r:id="rId3"/>
    <sheet name="erhalten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#,##0.00\ &quot;€&quot;"/>
    <numFmt numFmtId="165" formatCode="dddd\,\ dd/mm/yyyy\ hh:mm:ss"/>
    <numFmt numFmtId="166" formatCode="dddd\,\ dd\.mm\.yyyy\ hh:mm:ss"/>
    <numFmt numFmtId="167" formatCode="_-* #,##0.00&quot; €&quot;_-;\-* #,##0.00&quot; €&quot;_-;_-* \-??&quot; €&quot;_-;_-@_-"/>
    <numFmt numFmtId="168" formatCode="_-* #,##0.00_-;\-* #,##0.00_-;_-* &quot;-&quot;??_-;_-@_-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4D5C00"/>
      <sz val="11"/>
      <scheme val="minor"/>
    </font>
    <font>
      <name val="Calibri"/>
      <family val="2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E2EDB5"/>
        <bgColor indexed="64"/>
      </patternFill>
    </fill>
  </fills>
  <borders count="60">
    <border>
      <left/>
      <right/>
      <top/>
      <bottom/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/>
      <diagonal/>
    </border>
    <border>
      <left style="medium">
        <color auto="1"/>
      </left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/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/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/>
      <top/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dashed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dashed">
        <color auto="1"/>
      </left>
      <right/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medium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dashed">
        <color auto="1"/>
      </right>
      <top style="thin">
        <color auto="1"/>
      </top>
      <bottom/>
      <diagonal/>
    </border>
    <border>
      <left/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dashed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 style="medium">
        <color auto="1"/>
      </left>
      <right style="dashed">
        <color auto="1"/>
      </right>
      <top/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755851924192"/>
      </right>
      <top/>
      <bottom style="thin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medium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</borders>
  <cellStyleXfs count="7">
    <xf numFmtId="0" fontId="3" fillId="0" borderId="0"/>
    <xf numFmtId="0" fontId="2" fillId="0" borderId="0"/>
    <xf numFmtId="167" fontId="2" fillId="0" borderId="0"/>
    <xf numFmtId="168" fontId="3" fillId="0" borderId="0"/>
    <xf numFmtId="0" fontId="4" fillId="3" borderId="0"/>
    <xf numFmtId="0" fontId="5" fillId="4" borderId="0"/>
    <xf numFmtId="0" fontId="6" fillId="5" borderId="0"/>
  </cellStyleXfs>
  <cellXfs count="100">
    <xf numFmtId="0" fontId="0" fillId="0" borderId="0" pivotButton="0" quotePrefix="0" xfId="0"/>
    <xf numFmtId="0" fontId="0" fillId="0" borderId="0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3" applyAlignment="1" pivotButton="0" quotePrefix="0" xfId="0">
      <alignment textRotation="90"/>
    </xf>
    <xf numFmtId="0" fontId="0" fillId="0" borderId="4" applyAlignment="1" pivotButton="0" quotePrefix="0" xfId="0">
      <alignment textRotation="90"/>
    </xf>
    <xf numFmtId="0" fontId="0" fillId="0" borderId="21" applyAlignment="1" pivotButton="0" quotePrefix="0" xfId="0">
      <alignment horizontal="right" vertical="center"/>
    </xf>
    <xf numFmtId="0" fontId="0" fillId="0" borderId="8" applyAlignment="1" pivotButton="0" quotePrefix="0" xfId="0">
      <alignment horizontal="right" vertical="center"/>
    </xf>
    <xf numFmtId="0" fontId="0" fillId="0" borderId="6" applyAlignment="1" pivotButton="0" quotePrefix="0" xfId="0">
      <alignment horizontal="right" vertical="center"/>
    </xf>
    <xf numFmtId="0" fontId="0" fillId="0" borderId="10" applyAlignment="1" pivotButton="0" quotePrefix="0" xfId="0">
      <alignment horizontal="right" vertical="center"/>
    </xf>
    <xf numFmtId="0" fontId="0" fillId="0" borderId="26" applyAlignment="1" pivotButton="0" quotePrefix="0" xfId="0">
      <alignment textRotation="90"/>
    </xf>
    <xf numFmtId="0" fontId="0" fillId="0" borderId="7" applyAlignment="1" pivotButton="0" quotePrefix="0" xfId="0">
      <alignment textRotation="90"/>
    </xf>
    <xf numFmtId="0" fontId="0" fillId="0" borderId="9" applyAlignment="1" pivotButton="0" quotePrefix="0" xfId="0">
      <alignment textRotation="90"/>
    </xf>
    <xf numFmtId="0" fontId="0" fillId="0" borderId="11" applyAlignment="1" pivotButton="0" quotePrefix="0" xfId="0">
      <alignment textRotation="90"/>
    </xf>
    <xf numFmtId="0" fontId="0" fillId="0" borderId="27" applyAlignment="1" pivotButton="0" quotePrefix="0" xfId="0">
      <alignment textRotation="90"/>
    </xf>
    <xf numFmtId="0" fontId="0" fillId="0" borderId="28" pivotButton="0" quotePrefix="0" xfId="0"/>
    <xf numFmtId="0" fontId="0" fillId="0" borderId="25" pivotButton="0" quotePrefix="0" xfId="0"/>
    <xf numFmtId="0" fontId="0" fillId="0" borderId="30" pivotButton="0" quotePrefix="0" xfId="0"/>
    <xf numFmtId="0" fontId="0" fillId="0" borderId="33" applyAlignment="1" pivotButton="0" quotePrefix="0" xfId="0">
      <alignment horizontal="right"/>
    </xf>
    <xf numFmtId="0" fontId="0" fillId="0" borderId="34" applyAlignment="1" pivotButton="0" quotePrefix="0" xfId="0">
      <alignment horizontal="right"/>
    </xf>
    <xf numFmtId="0" fontId="0" fillId="0" borderId="36" pivotButton="0" quotePrefix="0" xfId="0"/>
    <xf numFmtId="0" fontId="0" fillId="0" borderId="3" applyAlignment="1" pivotButton="0" quotePrefix="0" xfId="0">
      <alignment vertical="center"/>
    </xf>
    <xf numFmtId="0" fontId="0" fillId="0" borderId="41" pivotButton="0" quotePrefix="0" xfId="0"/>
    <xf numFmtId="0" fontId="0" fillId="0" borderId="3" pivotButton="0" quotePrefix="0" xfId="0"/>
    <xf numFmtId="0" fontId="0" fillId="0" borderId="40" applyAlignment="1" pivotButton="0" quotePrefix="0" xfId="0">
      <alignment vertical="center"/>
    </xf>
    <xf numFmtId="0" fontId="0" fillId="0" borderId="47" pivotButton="0" quotePrefix="0" xfId="0"/>
    <xf numFmtId="0" fontId="0" fillId="0" borderId="49" pivotButton="0" quotePrefix="0" xfId="0"/>
    <xf numFmtId="0" fontId="0" fillId="0" borderId="48" pivotButton="0" quotePrefix="0" xfId="0"/>
    <xf numFmtId="0" fontId="0" fillId="0" borderId="3" applyAlignment="1" pivotButton="0" quotePrefix="0" xfId="0">
      <alignment horizontal="right" vertical="center"/>
    </xf>
    <xf numFmtId="0" fontId="0" fillId="0" borderId="7" pivotButton="0" quotePrefix="0" xfId="0"/>
    <xf numFmtId="0" fontId="1" fillId="2" borderId="51" pivotButton="0" quotePrefix="0" xfId="0"/>
    <xf numFmtId="0" fontId="1" fillId="2" borderId="53" pivotButton="0" quotePrefix="0" xfId="0"/>
    <xf numFmtId="2" fontId="0" fillId="0" borderId="0" applyAlignment="1" pivotButton="0" quotePrefix="0" xfId="3">
      <alignment horizontal="right"/>
    </xf>
    <xf numFmtId="0" fontId="1" fillId="2" borderId="51" applyAlignment="1" pivotButton="0" quotePrefix="0" xfId="3">
      <alignment horizontal="left"/>
    </xf>
    <xf numFmtId="2" fontId="0" fillId="0" borderId="0" applyAlignment="1" pivotButton="0" quotePrefix="0" xfId="0">
      <alignment horizontal="right"/>
    </xf>
    <xf numFmtId="0" fontId="7" fillId="6" borderId="4" applyAlignment="1" pivotButton="0" quotePrefix="0" xfId="0">
      <alignment horizontal="right" vertical="center"/>
    </xf>
    <xf numFmtId="0" fontId="7" fillId="6" borderId="10" applyAlignment="1" pivotButton="0" quotePrefix="0" xfId="0">
      <alignment horizontal="right" vertical="center"/>
    </xf>
    <xf numFmtId="0" fontId="7" fillId="0" borderId="3" applyAlignment="1" pivotButton="0" quotePrefix="0" xfId="0">
      <alignment horizontal="right" vertical="center"/>
    </xf>
    <xf numFmtId="0" fontId="7" fillId="0" borderId="6" applyAlignment="1" pivotButton="0" quotePrefix="0" xfId="0">
      <alignment horizontal="right" vertical="center"/>
    </xf>
    <xf numFmtId="0" fontId="8" fillId="0" borderId="0" pivotButton="0" quotePrefix="0" xfId="0"/>
    <xf numFmtId="0" fontId="8" fillId="0" borderId="0" pivotButton="0" quotePrefix="0" xfId="4"/>
    <xf numFmtId="0" fontId="8" fillId="0" borderId="0" pivotButton="0" quotePrefix="0" xfId="6"/>
    <xf numFmtId="0" fontId="8" fillId="0" borderId="0" pivotButton="0" quotePrefix="0" xfId="5"/>
    <xf numFmtId="9" fontId="0" fillId="0" borderId="0" pivotButton="0" quotePrefix="0" xfId="0"/>
    <xf numFmtId="164" fontId="0" fillId="0" borderId="0" pivotButton="0" quotePrefix="0" xfId="0"/>
    <xf numFmtId="164" fontId="1" fillId="2" borderId="51" pivotButton="0" quotePrefix="0" xfId="0"/>
    <xf numFmtId="164" fontId="1" fillId="2" borderId="52" pivotButton="0" quotePrefix="0" xfId="0"/>
    <xf numFmtId="165" fontId="0" fillId="0" borderId="0" pivotButton="0" quotePrefix="0" xfId="0"/>
    <xf numFmtId="0" fontId="0" fillId="0" borderId="54" pivotButton="0" quotePrefix="0" xfId="0"/>
    <xf numFmtId="0" fontId="0" fillId="0" borderId="56" pivotButton="0" quotePrefix="0" xfId="0"/>
    <xf numFmtId="165" fontId="0" fillId="0" borderId="56" pivotButton="0" quotePrefix="0" xfId="0"/>
    <xf numFmtId="0" fontId="0" fillId="0" borderId="1" applyAlignment="1" pivotButton="0" quotePrefix="0" xfId="0">
      <alignment horizontal="right" vertical="center"/>
    </xf>
    <xf numFmtId="0" fontId="0" fillId="0" borderId="4" applyAlignment="1" pivotButton="0" quotePrefix="0" xfId="0">
      <alignment horizontal="right" vertical="center"/>
    </xf>
    <xf numFmtId="0" fontId="0" fillId="0" borderId="33" pivotButton="0" quotePrefix="0" xfId="0"/>
    <xf numFmtId="0" fontId="0" fillId="0" borderId="32" pivotButton="0" quotePrefix="0" xfId="0"/>
    <xf numFmtId="0" fontId="0" fillId="0" borderId="0" pivotButton="0" quotePrefix="0" xfId="0"/>
    <xf numFmtId="0" fontId="1" fillId="2" borderId="51" pivotButton="0" quotePrefix="0" xfId="0"/>
    <xf numFmtId="0" fontId="1" fillId="2" borderId="52" pivotButton="0" quotePrefix="0" xfId="0"/>
    <xf numFmtId="0" fontId="0" fillId="0" borderId="5" applyAlignment="1" pivotButton="0" quotePrefix="0" xfId="0">
      <alignment horizontal="center"/>
    </xf>
    <xf numFmtId="0" fontId="0" fillId="0" borderId="37" pivotButton="0" quotePrefix="0" xfId="0"/>
    <xf numFmtId="0" fontId="0" fillId="0" borderId="38" pivotButton="0" quotePrefix="0" xfId="0"/>
    <xf numFmtId="0" fontId="0" fillId="0" borderId="1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4" applyAlignment="1" pivotButton="0" quotePrefix="0" xfId="0">
      <alignment horizontal="right" vertical="center"/>
    </xf>
    <xf numFmtId="0" fontId="0" fillId="0" borderId="11" pivotButton="0" quotePrefix="0" xfId="0"/>
    <xf numFmtId="0" fontId="0" fillId="0" borderId="23" pivotButton="0" quotePrefix="0" xfId="0"/>
    <xf numFmtId="0" fontId="0" fillId="0" borderId="46" applyAlignment="1" pivotButton="0" quotePrefix="0" xfId="0">
      <alignment horizontal="righ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43" applyAlignment="1" pivotButton="0" quotePrefix="0" xfId="0">
      <alignment horizontal="right"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45" applyAlignment="1" pivotButton="0" quotePrefix="0" xfId="0">
      <alignment horizontal="right" vertical="center"/>
    </xf>
    <xf numFmtId="0" fontId="0" fillId="0" borderId="31" pivotButton="0" quotePrefix="0" xfId="0"/>
    <xf numFmtId="0" fontId="0" fillId="0" borderId="29" applyAlignment="1" pivotButton="0" quotePrefix="0" xfId="0">
      <alignment horizontal="center"/>
    </xf>
    <xf numFmtId="0" fontId="0" fillId="0" borderId="39" pivotButton="0" quotePrefix="0" xfId="0"/>
    <xf numFmtId="0" fontId="0" fillId="0" borderId="2" applyAlignment="1" pivotButton="0" quotePrefix="0" xfId="0">
      <alignment horizontal="right" vertical="center"/>
    </xf>
    <xf numFmtId="0" fontId="0" fillId="0" borderId="24" pivotButton="0" quotePrefix="0" xfId="0"/>
    <xf numFmtId="0" fontId="0" fillId="0" borderId="35" pivotButton="0" quotePrefix="0" xfId="0"/>
    <xf numFmtId="166" fontId="0" fillId="0" borderId="55" applyAlignment="1" pivotButton="0" quotePrefix="0" xfId="0">
      <alignment horizontal="center"/>
    </xf>
    <xf numFmtId="0" fontId="0" fillId="0" borderId="33" pivotButton="0" quotePrefix="0" xfId="0"/>
    <xf numFmtId="0" fontId="0" fillId="0" borderId="32" pivotButton="0" quotePrefix="0" xfId="0"/>
    <xf numFmtId="0" fontId="0" fillId="0" borderId="14" pivotButton="0" quotePrefix="0" xfId="0"/>
    <xf numFmtId="0" fontId="0" fillId="0" borderId="0" pivotButton="0" quotePrefix="0" xfId="0"/>
    <xf numFmtId="0" fontId="0" fillId="0" borderId="15" pivotButton="0" quotePrefix="0" xfId="0"/>
    <xf numFmtId="0" fontId="0" fillId="0" borderId="44" applyAlignment="1" pivotButton="0" quotePrefix="0" xfId="0">
      <alignment horizontal="right" vertical="center"/>
    </xf>
    <xf numFmtId="0" fontId="0" fillId="0" borderId="50" pivotButton="0" quotePrefix="0" xfId="0"/>
    <xf numFmtId="0" fontId="0" fillId="0" borderId="46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42" pivotButton="0" quotePrefix="0" xfId="0"/>
    <xf numFmtId="0" fontId="0" fillId="0" borderId="46" applyAlignment="1" pivotButton="0" quotePrefix="0" xfId="0">
      <alignment horizontal="center" vertical="center"/>
    </xf>
    <xf numFmtId="166" fontId="0" fillId="0" borderId="55" applyAlignment="1" pivotButton="0" quotePrefix="0" xfId="0">
      <alignment horizontal="center"/>
    </xf>
    <xf numFmtId="165" fontId="0" fillId="0" borderId="56" pivotButton="0" quotePrefix="0" xfId="0"/>
    <xf numFmtId="165" fontId="0" fillId="0" borderId="0" pivotButton="0" quotePrefix="0" xfId="0"/>
    <xf numFmtId="164" fontId="0" fillId="0" borderId="0" pivotButton="0" quotePrefix="0" xfId="0"/>
    <xf numFmtId="164" fontId="1" fillId="2" borderId="51" pivotButton="0" quotePrefix="0" xfId="0"/>
    <xf numFmtId="164" fontId="1" fillId="2" borderId="52" pivotButton="0" quotePrefix="0" xfId="0"/>
  </cellXfs>
  <cellStyles count="7">
    <cellStyle name="Standard" xfId="0" builtinId="0"/>
    <cellStyle name="Standard 2" xfId="1"/>
    <cellStyle name="Währung 2" xfId="2"/>
    <cellStyle name="Komma" xfId="3" builtinId="3"/>
    <cellStyle name="Gut" xfId="4" builtinId="26"/>
    <cellStyle name="Schlecht" xfId="5" builtinId="27"/>
    <cellStyle name="Neutral" xfId="6" builtinId="28"/>
  </cellStyles>
  <dxfs count="25">
    <dxf>
      <font>
        <color rgb="FF9C2C03"/>
      </font>
      <fill>
        <patternFill>
          <bgColor rgb="FFFFB77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4D5C00"/>
      </font>
      <fill>
        <patternFill>
          <bgColor rgb="FFD7E69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numFmt numFmtId="165" formatCode="#,##0.00\ &quot;€&quot;"/>
    </dxf>
    <dxf>
      <numFmt numFmtId="165" formatCode="#,##0.00\ &quot;€&quot;"/>
    </dxf>
    <dxf>
      <border outline="0"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numFmt numFmtId="165" formatCode="#,##0.00\ &quot;€&quot;"/>
    </dxf>
    <dxf>
      <numFmt numFmtId="165" formatCode="#,##0.00\ &quot;€&quot;"/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2" formatCode="0.00"/>
      <alignment horizontal="right" vertical="bottom"/>
    </dxf>
    <dxf>
      <numFmt numFmtId="2" formatCode="0.00"/>
      <alignment horizontal="right" vertical="bottom"/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zuBestellen" displayName="zuBestellen" ref="A1:I7" headerRowCount="1" totalsRowCount="1" headerRowDxfId="24" headerRowBorderDxfId="23" tableBorderDxfId="22">
  <autoFilter ref="A1:I6"/>
  <tableColumns count="9">
    <tableColumn id="7" name="Bestell Nr." totalsRowLabel="Ergebnis"/>
    <tableColumn id="10" name="Jahrgang" dataDxfId="21" totalsRowDxfId="20" dataCellStyle="Komma" totalsRowCellStyle="Komma"/>
    <tableColumn id="9" name="Fach"/>
    <tableColumn id="1" name="Stückzahl" totalsRowFunction="sum"/>
    <tableColumn id="2" name="Verfasser/Titel"/>
    <tableColumn id="3" name="Verlag"/>
    <tableColumn id="4" name="Best.-Nr. (ISBN)"/>
    <tableColumn id="5" name="Einzelpreis (brutto)" dataDxfId="19" totalsRowDxfId="18"/>
    <tableColumn id="6" name="Gesamtpreis (brutto)" totalsRowFunction="sum" dataDxfId="17" totalsRowDxfId="16">
      <calculatedColumnFormula>IF(OR(zuBestellen[[#This Row],[Stückzahl]]="",zuBestellen[[#This Row],[Einzelpreis (brutto)]]=""),"",zuBestellen[[#This Row],[Stückzahl]]*zuBestellen[[#This Row],[Einzelpreis (brutto)]])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estellt" displayName="bestellt" ref="A1:H8" headerRowCount="1" totalsRowShown="0" headerRowDxfId="10" headerRowBorderDxfId="8" tableBorderDxfId="9">
  <autoFilter ref="A1:H8"/>
  <sortState ref="A2:H14">
    <sortCondition ref="A2:A14"/>
    <sortCondition ref="B2:B14"/>
    <sortCondition ref="C2:C14"/>
  </sortState>
  <tableColumns count="8">
    <tableColumn id="1" name="B. Lfd.-Nr."/>
    <tableColumn id="2" name="Lfd. Nr."/>
    <tableColumn id="3" name="Stückzahl"/>
    <tableColumn id="4" name="Verfasser/Titel"/>
    <tableColumn id="5" name="Verlag"/>
    <tableColumn id="6" name="Best.-Nr. (ISBN)"/>
    <tableColumn id="7" name="Einzelpreis (brutto)" dataDxfId="7"/>
    <tableColumn id="8" name="Gesamtpreis (brutto)" dataDxfId="6">
      <calculatedColumnFormula>IF(OR(bestellt[[#This Row],[Stückzahl]]="",bestellt[[#This Row],[Einzelpreis (brutto)]]=""),"",bestellt[[#This Row],[Stückzahl]]*bestellt[[#This Row],[Einzelpreis (brutto)]])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rhalten" displayName="erhalten" ref="A1:H42" headerRowCount="1" totalsRowShown="0" headerRowDxfId="15" headerRowBorderDxfId="14" tableBorderDxfId="13">
  <autoFilter ref="A1:H42"/>
  <sortState ref="A2:H42">
    <sortCondition ref="A2:A42"/>
    <sortCondition ref="B2:B42"/>
  </sortState>
  <tableColumns count="8">
    <tableColumn id="1" name="B. Lfd.-Nr."/>
    <tableColumn id="2" name="Lfd. Nr."/>
    <tableColumn id="3" name="Stückzahl"/>
    <tableColumn id="4" name="Verfasser/Titel"/>
    <tableColumn id="5" name="Verlag"/>
    <tableColumn id="6" name="Best.-Nr. (ISBN)"/>
    <tableColumn id="7" name="Einzelpreis (brutto)" dataDxfId="12"/>
    <tableColumn id="8" name="Gesamtpreis (brutto)" dataDxfId="11">
      <calculatedColumnFormula>IF(OR(erhalten[[#This Row],[Stückzahl]]="",erhalten[[#This Row],[Einzelpreis (brutto)]]=""),"",erhalten[[#This Row],[Stückzahl]]*erhalten[[#This Row],[Einzelpreis (brutto)]])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 codeName="Tabelle11">
    <outlinePr summaryBelow="1" summaryRight="1"/>
    <pageSetUpPr/>
  </sheetPr>
  <dimension ref="A1:BJ29"/>
  <sheetViews>
    <sheetView tabSelected="1" zoomScaleNormal="100" workbookViewId="0">
      <pane xSplit="1" topLeftCell="B1" activePane="topRight" state="frozen"/>
      <selection pane="topRight" activeCell="G5" sqref="G5"/>
    </sheetView>
  </sheetViews>
  <sheetFormatPr baseColWidth="10" defaultRowHeight="14.4"/>
  <cols>
    <col width="4" customWidth="1" style="85" min="2" max="61"/>
  </cols>
  <sheetData>
    <row r="1" ht="15" customHeight="1" s="85" thickTop="1">
      <c r="A1" s="14" t="inlineStr">
        <is>
          <t>Fach</t>
        </is>
      </c>
      <c r="B1" s="57" t="inlineStr">
        <is>
          <t>Deutsch</t>
        </is>
      </c>
      <c r="C1" s="58" t="n"/>
      <c r="D1" s="58" t="n"/>
      <c r="E1" s="59" t="n"/>
      <c r="F1" s="57" t="inlineStr">
        <is>
          <t>Englisch</t>
        </is>
      </c>
      <c r="G1" s="58" t="n"/>
      <c r="H1" s="58" t="n"/>
      <c r="I1" s="59" t="n"/>
      <c r="J1" s="57" t="inlineStr">
        <is>
          <t>Erdkunde</t>
        </is>
      </c>
      <c r="K1" s="58" t="n"/>
      <c r="L1" s="58" t="n"/>
      <c r="M1" s="59" t="n"/>
      <c r="N1" s="57" t="inlineStr">
        <is>
          <t>Geschichte</t>
        </is>
      </c>
      <c r="O1" s="58" t="n"/>
      <c r="P1" s="58" t="n"/>
      <c r="Q1" s="59" t="n"/>
      <c r="R1" s="57" t="inlineStr">
        <is>
          <t>Politik</t>
        </is>
      </c>
      <c r="S1" s="58" t="n"/>
      <c r="T1" s="58" t="n"/>
      <c r="U1" s="59" t="n"/>
      <c r="V1" s="57" t="inlineStr">
        <is>
          <t>Biologie</t>
        </is>
      </c>
      <c r="W1" s="58" t="n"/>
      <c r="X1" s="58" t="n"/>
      <c r="Y1" s="59" t="n"/>
      <c r="Z1" s="57" t="inlineStr">
        <is>
          <t>Chemie</t>
        </is>
      </c>
      <c r="AA1" s="58" t="n"/>
      <c r="AB1" s="58" t="n"/>
      <c r="AC1" s="59" t="n"/>
      <c r="AD1" s="57" t="inlineStr">
        <is>
          <t>Informatik</t>
        </is>
      </c>
      <c r="AE1" s="58" t="n"/>
      <c r="AF1" s="58" t="n"/>
      <c r="AG1" s="59" t="n"/>
      <c r="AH1" s="57" t="inlineStr">
        <is>
          <t>Mathematik</t>
        </is>
      </c>
      <c r="AI1" s="58" t="n"/>
      <c r="AJ1" s="58" t="n"/>
      <c r="AK1" s="59" t="n"/>
      <c r="AL1" s="57" t="inlineStr">
        <is>
          <t>Physik</t>
        </is>
      </c>
      <c r="AM1" s="58" t="n"/>
      <c r="AN1" s="58" t="n"/>
      <c r="AO1" s="59" t="n"/>
      <c r="AP1" s="57" t="inlineStr">
        <is>
          <t>Religion</t>
        </is>
      </c>
      <c r="AQ1" s="58" t="n"/>
      <c r="AR1" s="58" t="n"/>
      <c r="AS1" s="59" t="n"/>
      <c r="AT1" s="57" t="inlineStr">
        <is>
          <t>Werte und Normen</t>
        </is>
      </c>
      <c r="AU1" s="58" t="n"/>
      <c r="AV1" s="58" t="n"/>
      <c r="AW1" s="59" t="n"/>
      <c r="AX1" s="57" t="inlineStr">
        <is>
          <t>Französisch</t>
        </is>
      </c>
      <c r="AY1" s="58" t="n"/>
      <c r="AZ1" s="58" t="n"/>
      <c r="BA1" s="59" t="n"/>
      <c r="BB1" s="57" t="inlineStr">
        <is>
          <t>Latein</t>
        </is>
      </c>
      <c r="BC1" s="58" t="n"/>
      <c r="BD1" s="58" t="n"/>
      <c r="BE1" s="59" t="n"/>
      <c r="BF1" s="76" t="inlineStr">
        <is>
          <t>Spanisch</t>
        </is>
      </c>
      <c r="BG1" s="58" t="n"/>
      <c r="BH1" s="58" t="n"/>
      <c r="BI1" s="77" t="n"/>
      <c r="BJ1" s="48" t="n"/>
    </row>
    <row r="2" ht="64.95" customFormat="1" customHeight="1" s="1">
      <c r="A2" s="9" t="inlineStr">
        <is>
          <t>Zustand</t>
        </is>
      </c>
      <c r="B2" s="10" t="inlineStr">
        <is>
          <t>Angemeldet</t>
        </is>
      </c>
      <c r="C2" s="11" t="inlineStr">
        <is>
          <t>Bestand</t>
        </is>
      </c>
      <c r="D2" s="11" t="inlineStr">
        <is>
          <t>Bestellt</t>
        </is>
      </c>
      <c r="E2" s="12" t="inlineStr">
        <is>
          <t>zu bestellen</t>
        </is>
      </c>
      <c r="F2" s="10" t="inlineStr">
        <is>
          <t>Angemeldet</t>
        </is>
      </c>
      <c r="G2" s="11" t="inlineStr">
        <is>
          <t>Bestand</t>
        </is>
      </c>
      <c r="H2" s="11" t="inlineStr">
        <is>
          <t>Bestellt</t>
        </is>
      </c>
      <c r="I2" s="12" t="inlineStr">
        <is>
          <t>zu bestellen</t>
        </is>
      </c>
      <c r="J2" s="10" t="inlineStr">
        <is>
          <t>Angemeldet</t>
        </is>
      </c>
      <c r="K2" s="11" t="inlineStr">
        <is>
          <t>Bestand</t>
        </is>
      </c>
      <c r="L2" s="11" t="inlineStr">
        <is>
          <t>Bestellt</t>
        </is>
      </c>
      <c r="M2" s="12" t="inlineStr">
        <is>
          <t>zu bestellen</t>
        </is>
      </c>
      <c r="N2" s="10" t="inlineStr">
        <is>
          <t>Angemeldet</t>
        </is>
      </c>
      <c r="O2" s="11" t="inlineStr">
        <is>
          <t>Bestand</t>
        </is>
      </c>
      <c r="P2" s="11" t="inlineStr">
        <is>
          <t>Bestellt</t>
        </is>
      </c>
      <c r="Q2" s="12" t="inlineStr">
        <is>
          <t>zu bestellen</t>
        </is>
      </c>
      <c r="R2" s="10" t="inlineStr">
        <is>
          <t>Angemeldet</t>
        </is>
      </c>
      <c r="S2" s="11" t="inlineStr">
        <is>
          <t>Bestand</t>
        </is>
      </c>
      <c r="T2" s="11" t="inlineStr">
        <is>
          <t>Bestellt</t>
        </is>
      </c>
      <c r="U2" s="12" t="inlineStr">
        <is>
          <t>zu bestellen</t>
        </is>
      </c>
      <c r="V2" s="10" t="inlineStr">
        <is>
          <t>Angemeldet</t>
        </is>
      </c>
      <c r="W2" s="11" t="inlineStr">
        <is>
          <t>Bestand</t>
        </is>
      </c>
      <c r="X2" s="11" t="inlineStr">
        <is>
          <t>Bestellt</t>
        </is>
      </c>
      <c r="Y2" s="12" t="inlineStr">
        <is>
          <t>zu bestellen</t>
        </is>
      </c>
      <c r="Z2" s="10" t="inlineStr">
        <is>
          <t>Angemeldet</t>
        </is>
      </c>
      <c r="AA2" s="11" t="inlineStr">
        <is>
          <t>Bestand</t>
        </is>
      </c>
      <c r="AB2" s="11" t="inlineStr">
        <is>
          <t>Bestellt</t>
        </is>
      </c>
      <c r="AC2" s="12" t="inlineStr">
        <is>
          <t>zu bestellen</t>
        </is>
      </c>
      <c r="AD2" s="10" t="inlineStr">
        <is>
          <t>Angemeldet</t>
        </is>
      </c>
      <c r="AE2" s="11" t="inlineStr">
        <is>
          <t>Bestand</t>
        </is>
      </c>
      <c r="AF2" s="11" t="inlineStr">
        <is>
          <t>Bestellt</t>
        </is>
      </c>
      <c r="AG2" s="12" t="inlineStr">
        <is>
          <t>zu bestellen</t>
        </is>
      </c>
      <c r="AH2" s="10" t="inlineStr">
        <is>
          <t>Angemeldet</t>
        </is>
      </c>
      <c r="AI2" s="11" t="inlineStr">
        <is>
          <t>Bestand</t>
        </is>
      </c>
      <c r="AJ2" s="11" t="inlineStr">
        <is>
          <t>Bestellt</t>
        </is>
      </c>
      <c r="AK2" s="12" t="inlineStr">
        <is>
          <t>zu bestellen</t>
        </is>
      </c>
      <c r="AL2" s="10" t="inlineStr">
        <is>
          <t>Angemeldet</t>
        </is>
      </c>
      <c r="AM2" s="11" t="inlineStr">
        <is>
          <t>Bestand</t>
        </is>
      </c>
      <c r="AN2" s="11" t="inlineStr">
        <is>
          <t>Bestellt</t>
        </is>
      </c>
      <c r="AO2" s="12" t="inlineStr">
        <is>
          <t>zu bestellen</t>
        </is>
      </c>
      <c r="AP2" s="10" t="inlineStr">
        <is>
          <t>Angemeldet</t>
        </is>
      </c>
      <c r="AQ2" s="11" t="inlineStr">
        <is>
          <t>Bestand</t>
        </is>
      </c>
      <c r="AR2" s="11" t="inlineStr">
        <is>
          <t>Bestellt</t>
        </is>
      </c>
      <c r="AS2" s="12" t="inlineStr">
        <is>
          <t>zu bestellen</t>
        </is>
      </c>
      <c r="AT2" s="3" t="inlineStr">
        <is>
          <t>Angemeldet</t>
        </is>
      </c>
      <c r="AU2" s="2" t="inlineStr">
        <is>
          <t>Bestand</t>
        </is>
      </c>
      <c r="AV2" s="2" t="inlineStr">
        <is>
          <t>Bestellt</t>
        </is>
      </c>
      <c r="AW2" s="4" t="inlineStr">
        <is>
          <t>zu bestellen</t>
        </is>
      </c>
      <c r="AX2" s="10" t="inlineStr">
        <is>
          <t>Angemeldet</t>
        </is>
      </c>
      <c r="AY2" s="11" t="inlineStr">
        <is>
          <t>Bestand</t>
        </is>
      </c>
      <c r="AZ2" s="11" t="inlineStr">
        <is>
          <t>Bestellt</t>
        </is>
      </c>
      <c r="BA2" s="12" t="inlineStr">
        <is>
          <t>zu bestellen</t>
        </is>
      </c>
      <c r="BB2" s="10" t="inlineStr">
        <is>
          <t>Angemeldet</t>
        </is>
      </c>
      <c r="BC2" s="11" t="inlineStr">
        <is>
          <t>Bestand</t>
        </is>
      </c>
      <c r="BD2" s="11" t="inlineStr">
        <is>
          <t>Bestellt</t>
        </is>
      </c>
      <c r="BE2" s="12" t="inlineStr">
        <is>
          <t>zu bestellen</t>
        </is>
      </c>
      <c r="BF2" s="10" t="inlineStr">
        <is>
          <t>Angemeldet</t>
        </is>
      </c>
      <c r="BG2" s="11" t="inlineStr">
        <is>
          <t>Bestand</t>
        </is>
      </c>
      <c r="BH2" s="11" t="inlineStr">
        <is>
          <t>Bestellt</t>
        </is>
      </c>
      <c r="BI2" s="13" t="inlineStr">
        <is>
          <t>zu bestellen</t>
        </is>
      </c>
    </row>
    <row r="3">
      <c r="A3" s="15" t="inlineStr">
        <is>
          <t>Jahrgang 5</t>
        </is>
      </c>
      <c r="B3" s="27" t="n"/>
      <c r="C3" s="60" t="n"/>
      <c r="D3" s="60" t="n"/>
      <c r="E3" s="62">
        <f>B3-C3-D3</f>
        <v/>
      </c>
      <c r="F3" s="27" t="n"/>
      <c r="G3" s="60" t="n"/>
      <c r="H3" s="60" t="n"/>
      <c r="I3" s="62">
        <f>F3-G3-H3</f>
        <v/>
      </c>
      <c r="J3" s="20" t="n"/>
      <c r="K3" s="60" t="n"/>
      <c r="L3" s="60" t="n"/>
      <c r="M3" s="62">
        <f>J3+J4-K3-L3</f>
        <v/>
      </c>
      <c r="N3" s="27" t="n"/>
      <c r="O3" s="60" t="n"/>
      <c r="P3" s="60" t="n"/>
      <c r="Q3" s="62">
        <f>N3-O3-P3</f>
        <v/>
      </c>
      <c r="R3" s="68" t="n"/>
      <c r="S3" s="66" t="n"/>
      <c r="T3" s="66" t="n"/>
      <c r="U3" s="67" t="n"/>
      <c r="V3" s="20" t="n"/>
      <c r="W3" s="60" t="n"/>
      <c r="X3" s="60" t="n"/>
      <c r="Y3" s="62">
        <f>V3+V4-W3-X3</f>
        <v/>
      </c>
      <c r="Z3" s="20" t="n"/>
      <c r="AA3" s="60" t="n"/>
      <c r="AB3" s="60" t="n"/>
      <c r="AC3" s="62">
        <f>Z3+Z4-AA3-AB3</f>
        <v/>
      </c>
      <c r="AD3" s="68" t="n"/>
      <c r="AE3" s="66" t="n"/>
      <c r="AF3" s="66" t="n"/>
      <c r="AG3" s="67" t="n"/>
      <c r="AH3" s="27" t="n"/>
      <c r="AI3" s="60" t="n"/>
      <c r="AJ3" s="60" t="n"/>
      <c r="AK3" s="62">
        <f>AH3-AI3-AJ3</f>
        <v/>
      </c>
      <c r="AL3" s="20" t="n"/>
      <c r="AM3" s="60" t="n"/>
      <c r="AN3" s="60" t="n"/>
      <c r="AO3" s="62">
        <f>AL3+AL4-AM3-AN3</f>
        <v/>
      </c>
      <c r="AP3" s="20" t="n"/>
      <c r="AQ3" s="60" t="n"/>
      <c r="AR3" s="60" t="n"/>
      <c r="AS3" s="62">
        <f>AP3+AP4-AQ3-AR3</f>
        <v/>
      </c>
      <c r="AT3" s="20" t="n"/>
      <c r="AU3" s="60" t="n"/>
      <c r="AV3" s="60" t="n"/>
      <c r="AW3" s="62">
        <f>AT3+AT4-AU3-AV3</f>
        <v/>
      </c>
      <c r="AX3" s="68" t="n"/>
      <c r="AY3" s="69" t="n"/>
      <c r="AZ3" s="69" t="n"/>
      <c r="BA3" s="70" t="n"/>
      <c r="BB3" s="68" t="n"/>
      <c r="BC3" s="69" t="n"/>
      <c r="BD3" s="69" t="n"/>
      <c r="BE3" s="70" t="n"/>
      <c r="BF3" s="87" t="n"/>
      <c r="BG3" s="69" t="n"/>
      <c r="BH3" s="69" t="n"/>
      <c r="BI3" s="91" t="n"/>
    </row>
    <row r="4">
      <c r="A4" s="15" t="inlineStr">
        <is>
          <t>Jahrgang 6</t>
        </is>
      </c>
      <c r="B4" s="27" t="n"/>
      <c r="C4" s="60" t="n"/>
      <c r="D4" s="60" t="n"/>
      <c r="E4" s="62">
        <f>B4-C4-D4</f>
        <v/>
      </c>
      <c r="F4" s="27" t="n"/>
      <c r="G4" s="60" t="n"/>
      <c r="H4" s="60" t="n"/>
      <c r="I4" s="62">
        <f>F4-G4-H4</f>
        <v/>
      </c>
      <c r="J4" s="28" t="n"/>
      <c r="K4" s="61" t="n"/>
      <c r="L4" s="61" t="n"/>
      <c r="M4" s="63" t="n"/>
      <c r="N4" s="27" t="n"/>
      <c r="O4" s="60" t="n"/>
      <c r="P4" s="60" t="n"/>
      <c r="Q4" s="62">
        <f>N4-O4-P4</f>
        <v/>
      </c>
      <c r="R4" s="84" t="n"/>
      <c r="U4" s="86" t="n"/>
      <c r="V4" s="28" t="n"/>
      <c r="W4" s="61" t="n"/>
      <c r="X4" s="61" t="n"/>
      <c r="Y4" s="63" t="n"/>
      <c r="Z4" s="28" t="n"/>
      <c r="AA4" s="61" t="n"/>
      <c r="AB4" s="61" t="n"/>
      <c r="AC4" s="63" t="n"/>
      <c r="AD4" s="84" t="n"/>
      <c r="AG4" s="86" t="n"/>
      <c r="AH4" s="27" t="n"/>
      <c r="AI4" s="60" t="n"/>
      <c r="AJ4" s="60" t="n"/>
      <c r="AK4" s="62">
        <f>AH4-AI4-AJ4</f>
        <v/>
      </c>
      <c r="AL4" s="28" t="n"/>
      <c r="AM4" s="61" t="n"/>
      <c r="AN4" s="61" t="n"/>
      <c r="AO4" s="63" t="n"/>
      <c r="AP4" s="28" t="n"/>
      <c r="AQ4" s="61" t="n"/>
      <c r="AR4" s="61" t="n"/>
      <c r="AS4" s="63" t="n"/>
      <c r="AT4" s="28" t="n"/>
      <c r="AU4" s="61" t="n"/>
      <c r="AV4" s="61" t="n"/>
      <c r="AW4" s="63" t="n"/>
      <c r="AX4" s="20" t="n"/>
      <c r="AY4" s="60" t="n"/>
      <c r="AZ4" s="60" t="n"/>
      <c r="BA4" s="62">
        <f>AX4+AX5-AY4-AZ4</f>
        <v/>
      </c>
      <c r="BB4" s="20" t="n"/>
      <c r="BC4" s="90" t="n"/>
      <c r="BD4" s="90" t="n"/>
      <c r="BE4" s="62">
        <f>BB4+BB5+BB6+BB7-BC4-BD4</f>
        <v/>
      </c>
      <c r="BF4" s="27" t="n"/>
      <c r="BG4" s="60" t="n"/>
      <c r="BH4" s="60" t="n"/>
      <c r="BI4" s="5">
        <f>BF4-BG4-BH4</f>
        <v/>
      </c>
      <c r="BJ4" t="inlineStr">
        <is>
          <t>Einjahresbände inventarisiert + LA</t>
        </is>
      </c>
    </row>
    <row r="5">
      <c r="A5" s="15" t="inlineStr">
        <is>
          <t>Jahrgang 7</t>
        </is>
      </c>
      <c r="B5" s="27" t="n"/>
      <c r="C5" s="60" t="n"/>
      <c r="D5" s="60" t="n"/>
      <c r="E5" s="62">
        <f>B5-C5-D5</f>
        <v/>
      </c>
      <c r="F5" s="27" t="n"/>
      <c r="G5" s="60" t="n"/>
      <c r="H5" s="60" t="n"/>
      <c r="I5" s="62">
        <f>F5-G5-H5</f>
        <v/>
      </c>
      <c r="J5" s="20" t="n"/>
      <c r="K5" s="60" t="n"/>
      <c r="L5" s="60" t="n"/>
      <c r="M5" s="62">
        <f>J5+J6-K5-L5</f>
        <v/>
      </c>
      <c r="N5" s="20" t="n"/>
      <c r="O5" s="60" t="n"/>
      <c r="P5" s="60" t="n"/>
      <c r="Q5" s="62">
        <f>N5+N6-O5-P5</f>
        <v/>
      </c>
      <c r="R5" s="71" t="n"/>
      <c r="S5" s="72" t="n"/>
      <c r="T5" s="72" t="n"/>
      <c r="U5" s="73" t="n"/>
      <c r="V5" s="20" t="n"/>
      <c r="W5" s="60" t="n"/>
      <c r="X5" s="60" t="n"/>
      <c r="Y5" s="62">
        <f>V5+V6-W5-X5</f>
        <v/>
      </c>
      <c r="Z5" s="20" t="n"/>
      <c r="AA5" s="60" t="n"/>
      <c r="AB5" s="60" t="n"/>
      <c r="AC5" s="62">
        <f>Z5+Z6-AA5-AB5</f>
        <v/>
      </c>
      <c r="AD5" s="84" t="n"/>
      <c r="AG5" s="86" t="n"/>
      <c r="AH5" s="27" t="n"/>
      <c r="AI5" s="60" t="n"/>
      <c r="AJ5" s="60" t="n"/>
      <c r="AK5" s="62">
        <f>AH5-AI5-AJ5</f>
        <v/>
      </c>
      <c r="AL5" s="20" t="n"/>
      <c r="AM5" s="60" t="n"/>
      <c r="AN5" s="60" t="n"/>
      <c r="AO5" s="62">
        <f>AL5+AL6-AM5-AN5</f>
        <v/>
      </c>
      <c r="AP5" s="20" t="n"/>
      <c r="AQ5" s="60" t="n"/>
      <c r="AR5" s="60" t="n"/>
      <c r="AS5" s="62">
        <f>AP5+AP6-AQ5-AR5</f>
        <v/>
      </c>
      <c r="AT5" s="20" t="n"/>
      <c r="AU5" s="60" t="n"/>
      <c r="AV5" s="60" t="n"/>
      <c r="AW5" s="62">
        <f>AT5+AT6-AU5-AV5</f>
        <v/>
      </c>
      <c r="AX5" s="28" t="n"/>
      <c r="AY5" s="61" t="n"/>
      <c r="AZ5" s="61" t="n"/>
      <c r="BA5" s="63" t="n"/>
      <c r="BB5" s="22" t="n"/>
      <c r="BC5" s="64" t="n"/>
      <c r="BD5" s="64" t="n"/>
      <c r="BE5" s="92" t="n"/>
      <c r="BF5" s="27" t="n"/>
      <c r="BG5" s="60" t="n"/>
      <c r="BH5" s="60" t="n"/>
      <c r="BI5" s="5">
        <f>BF5-BG5-BH5</f>
        <v/>
      </c>
    </row>
    <row r="6" ht="15" customHeight="1" s="85">
      <c r="A6" s="15" t="inlineStr">
        <is>
          <t>Jahrgang 8</t>
        </is>
      </c>
      <c r="B6" s="27" t="n"/>
      <c r="C6" s="60" t="n"/>
      <c r="D6" s="60" t="n"/>
      <c r="E6" s="62">
        <f>B6-C6-D6</f>
        <v/>
      </c>
      <c r="F6" s="27" t="n"/>
      <c r="G6" s="60" t="n"/>
      <c r="H6" s="60" t="n"/>
      <c r="I6" s="62">
        <f>F6-G6-H6</f>
        <v/>
      </c>
      <c r="J6" s="28" t="n"/>
      <c r="K6" s="61" t="n"/>
      <c r="L6" s="61" t="n"/>
      <c r="M6" s="63" t="n"/>
      <c r="N6" s="28" t="n"/>
      <c r="O6" s="61" t="n"/>
      <c r="P6" s="61" t="n"/>
      <c r="Q6" s="63" t="n"/>
      <c r="R6" s="27" t="n"/>
      <c r="S6" s="60" t="n"/>
      <c r="T6" s="60" t="n"/>
      <c r="U6" s="62">
        <f>R6-S6-T6</f>
        <v/>
      </c>
      <c r="V6" s="28" t="n"/>
      <c r="W6" s="61" t="n"/>
      <c r="X6" s="61" t="n"/>
      <c r="Y6" s="63" t="n"/>
      <c r="Z6" s="28" t="n"/>
      <c r="AA6" s="61" t="n"/>
      <c r="AB6" s="61" t="n"/>
      <c r="AC6" s="63" t="n"/>
      <c r="AD6" s="71" t="n"/>
      <c r="AE6" s="72" t="n"/>
      <c r="AF6" s="72" t="n"/>
      <c r="AG6" s="73" t="n"/>
      <c r="AH6" s="27" t="n"/>
      <c r="AI6" s="60" t="n"/>
      <c r="AJ6" s="60" t="n"/>
      <c r="AK6" s="62">
        <f>AH6-AI6-AJ6</f>
        <v/>
      </c>
      <c r="AL6" s="28" t="n"/>
      <c r="AM6" s="61" t="n"/>
      <c r="AN6" s="61" t="n"/>
      <c r="AO6" s="63" t="n"/>
      <c r="AP6" s="28" t="n"/>
      <c r="AQ6" s="61" t="n"/>
      <c r="AR6" s="61" t="n"/>
      <c r="AS6" s="63" t="n"/>
      <c r="AT6" s="28" t="n"/>
      <c r="AU6" s="61" t="n"/>
      <c r="AV6" s="61" t="n"/>
      <c r="AW6" s="63" t="n"/>
      <c r="AX6" s="65" t="n"/>
      <c r="AY6" s="66" t="n"/>
      <c r="AZ6" s="66" t="n"/>
      <c r="BA6" s="67" t="n"/>
      <c r="BB6" s="22" t="n"/>
      <c r="BC6" s="64" t="n"/>
      <c r="BD6" s="64" t="n"/>
      <c r="BE6" s="92" t="n"/>
      <c r="BF6" s="27" t="n"/>
      <c r="BG6" s="60" t="n"/>
      <c r="BH6" s="60" t="n"/>
      <c r="BI6" s="5">
        <f>BF6-BG6-BH6</f>
        <v/>
      </c>
      <c r="BJ6" t="inlineStr">
        <is>
          <t>Einjahresbände inventarisiert</t>
        </is>
      </c>
    </row>
    <row r="7" ht="15" customHeight="1" s="85">
      <c r="A7" s="15" t="inlineStr">
        <is>
          <t>Jahrgang 9</t>
        </is>
      </c>
      <c r="B7" s="27" t="n"/>
      <c r="C7" s="60" t="n"/>
      <c r="D7" s="60" t="n"/>
      <c r="E7" s="62">
        <f>B7-C7-D7</f>
        <v/>
      </c>
      <c r="F7" s="36" t="n"/>
      <c r="G7" s="60" t="n"/>
      <c r="H7" s="60" t="n"/>
      <c r="I7" s="34">
        <f>F7-G7-H7</f>
        <v/>
      </c>
      <c r="J7" s="20" t="n"/>
      <c r="K7" s="60" t="n"/>
      <c r="L7" s="60" t="n"/>
      <c r="M7" s="62">
        <f>J7+J8-K7-L7</f>
        <v/>
      </c>
      <c r="N7" s="20" t="n"/>
      <c r="O7" s="60" t="n"/>
      <c r="P7" s="60" t="n"/>
      <c r="Q7" s="62">
        <f>N7+N8-O7-P7</f>
        <v/>
      </c>
      <c r="R7" s="27" t="n"/>
      <c r="S7" s="60" t="n"/>
      <c r="T7" s="60" t="n"/>
      <c r="U7" s="62">
        <f>R7-S7-T7</f>
        <v/>
      </c>
      <c r="V7" s="20" t="n"/>
      <c r="W7" s="60" t="n"/>
      <c r="X7" s="60" t="n"/>
      <c r="Y7" s="62">
        <f>V7+V8-W7-X7</f>
        <v/>
      </c>
      <c r="Z7" s="20" t="n"/>
      <c r="AA7" s="60" t="n"/>
      <c r="AB7" s="60" t="n"/>
      <c r="AC7" s="62">
        <f>Z7+Z8-AA7-AB7</f>
        <v/>
      </c>
      <c r="AD7" s="20" t="n"/>
      <c r="AE7" s="60" t="n"/>
      <c r="AF7" s="60" t="n"/>
      <c r="AG7" s="62">
        <f>AD7+AD8-AE7-AF7</f>
        <v/>
      </c>
      <c r="AH7" s="27" t="n"/>
      <c r="AI7" s="60" t="n"/>
      <c r="AJ7" s="60" t="n"/>
      <c r="AK7" s="62">
        <f>AH7-AI7-AJ7</f>
        <v/>
      </c>
      <c r="AL7" s="20" t="n"/>
      <c r="AM7" s="60" t="n"/>
      <c r="AN7" s="60" t="n"/>
      <c r="AO7" s="62">
        <f>AL7+AL8-AM7-AN7</f>
        <v/>
      </c>
      <c r="AP7" s="20" t="n"/>
      <c r="AQ7" s="60" t="n"/>
      <c r="AR7" s="60" t="n"/>
      <c r="AS7" s="62">
        <f>AP7+AP8-AQ7-AR7</f>
        <v/>
      </c>
      <c r="AT7" s="20" t="n"/>
      <c r="AU7" s="60" t="n"/>
      <c r="AV7" s="60" t="n"/>
      <c r="AW7" s="62">
        <f>AT7+AT8-AU7-AV7</f>
        <v/>
      </c>
      <c r="AX7" s="84" t="n"/>
      <c r="BA7" s="86" t="n"/>
      <c r="BB7" s="22" t="n"/>
      <c r="BC7" s="61" t="n"/>
      <c r="BD7" s="61" t="n"/>
      <c r="BE7" s="63" t="n"/>
      <c r="BF7" s="27" t="n"/>
      <c r="BG7" s="60" t="n"/>
      <c r="BH7" s="60" t="n"/>
      <c r="BI7" s="5">
        <f>BF7-BG7-BH7</f>
        <v/>
      </c>
    </row>
    <row r="8" ht="15" customHeight="1" s="85">
      <c r="A8" s="15" t="inlineStr">
        <is>
          <t>Jahrgang 10</t>
        </is>
      </c>
      <c r="B8" s="27" t="n"/>
      <c r="C8" s="60" t="n"/>
      <c r="D8" s="60" t="n"/>
      <c r="E8" s="62">
        <f>B8-C8-D8</f>
        <v/>
      </c>
      <c r="F8" s="36" t="n"/>
      <c r="G8" s="60" t="n"/>
      <c r="H8" s="60" t="n"/>
      <c r="I8" s="34">
        <f>F8-G8-H8</f>
        <v/>
      </c>
      <c r="J8" s="28" t="n"/>
      <c r="K8" s="61" t="n"/>
      <c r="L8" s="61" t="n"/>
      <c r="M8" s="63" t="n"/>
      <c r="N8" s="28" t="n"/>
      <c r="O8" s="61" t="n"/>
      <c r="P8" s="61" t="n"/>
      <c r="Q8" s="63" t="n"/>
      <c r="R8" s="27" t="n"/>
      <c r="S8" s="60" t="n"/>
      <c r="T8" s="60" t="n"/>
      <c r="U8" s="62">
        <f>R8-S8-T8</f>
        <v/>
      </c>
      <c r="V8" s="28" t="n"/>
      <c r="W8" s="61" t="n"/>
      <c r="X8" s="61" t="n"/>
      <c r="Y8" s="63" t="n"/>
      <c r="Z8" s="28" t="n"/>
      <c r="AA8" s="61" t="n"/>
      <c r="AB8" s="61" t="n"/>
      <c r="AC8" s="63" t="n"/>
      <c r="AD8" s="28" t="n"/>
      <c r="AE8" s="61" t="n"/>
      <c r="AF8" s="61" t="n"/>
      <c r="AG8" s="63" t="n"/>
      <c r="AH8" s="27" t="n"/>
      <c r="AI8" s="60" t="n"/>
      <c r="AJ8" s="60" t="n"/>
      <c r="AK8" s="62">
        <f>AH8-AI8-AJ8</f>
        <v/>
      </c>
      <c r="AL8" s="28" t="n"/>
      <c r="AM8" s="61" t="n"/>
      <c r="AN8" s="61" t="n"/>
      <c r="AO8" s="63" t="n"/>
      <c r="AP8" s="28" t="n"/>
      <c r="AQ8" s="61" t="n"/>
      <c r="AR8" s="61" t="n"/>
      <c r="AS8" s="63" t="n"/>
      <c r="AT8" s="28" t="n"/>
      <c r="AU8" s="61" t="n"/>
      <c r="AV8" s="61" t="n"/>
      <c r="AW8" s="63" t="n"/>
      <c r="AX8" s="84" t="n"/>
      <c r="BA8" s="86" t="n"/>
      <c r="BB8" s="65" t="n"/>
      <c r="BC8" s="66" t="n"/>
      <c r="BD8" s="66" t="n"/>
      <c r="BE8" s="67" t="n"/>
      <c r="BF8" s="27" t="n"/>
      <c r="BG8" s="60" t="n"/>
      <c r="BH8" s="60" t="n"/>
      <c r="BI8" s="5">
        <f>BF8-BG8-BH8</f>
        <v/>
      </c>
      <c r="BJ8" t="inlineStr">
        <is>
          <t>Einjahresbände inventarisiert</t>
        </is>
      </c>
    </row>
    <row r="9" ht="15" customHeight="1" s="85" thickBot="1">
      <c r="A9" s="16" t="inlineStr">
        <is>
          <t>Jahrgang 11</t>
        </is>
      </c>
      <c r="B9" s="7" t="n"/>
      <c r="C9" s="6" t="n"/>
      <c r="D9" s="6" t="n"/>
      <c r="E9" s="8">
        <f>B9-C9-D9</f>
        <v/>
      </c>
      <c r="F9" s="37" t="n"/>
      <c r="G9" s="6" t="n"/>
      <c r="H9" s="6" t="n"/>
      <c r="I9" s="35">
        <f>F9-G9-H9</f>
        <v/>
      </c>
      <c r="J9" s="7" t="n"/>
      <c r="K9" s="6" t="n"/>
      <c r="L9" s="6" t="n"/>
      <c r="M9" s="8">
        <f>J9-K9-L9</f>
        <v/>
      </c>
      <c r="N9" s="7" t="n"/>
      <c r="O9" s="6" t="n"/>
      <c r="P9" s="6" t="n"/>
      <c r="Q9" s="8">
        <f>N9-O9-P9</f>
        <v/>
      </c>
      <c r="R9" s="7" t="n"/>
      <c r="S9" s="6" t="n"/>
      <c r="T9" s="6" t="n"/>
      <c r="U9" s="8">
        <f>R9-S9-T9</f>
        <v/>
      </c>
      <c r="V9" s="7" t="n"/>
      <c r="W9" s="6" t="n"/>
      <c r="X9" s="6" t="n"/>
      <c r="Y9" s="8">
        <f>V9-W9-X9</f>
        <v/>
      </c>
      <c r="Z9" s="7" t="n"/>
      <c r="AA9" s="6" t="n"/>
      <c r="AB9" s="6" t="n"/>
      <c r="AC9" s="8">
        <f>Z9-AA9-AB9</f>
        <v/>
      </c>
      <c r="AD9" s="65" t="n"/>
      <c r="AE9" s="66" t="n"/>
      <c r="AF9" s="66" t="n"/>
      <c r="AG9" s="67" t="n"/>
      <c r="AH9" s="7" t="n"/>
      <c r="AI9" s="6" t="n"/>
      <c r="AJ9" s="6" t="n"/>
      <c r="AK9" s="8">
        <f>AH9-AI9-AJ9</f>
        <v/>
      </c>
      <c r="AL9" s="7" t="n"/>
      <c r="AM9" s="6" t="n"/>
      <c r="AN9" s="6" t="n"/>
      <c r="AO9" s="8">
        <f>AL9-AM9-AN9</f>
        <v/>
      </c>
      <c r="AP9" s="65" t="n"/>
      <c r="AQ9" s="66" t="n"/>
      <c r="AR9" s="66" t="n"/>
      <c r="AS9" s="67" t="n"/>
      <c r="AT9" s="23" t="n"/>
      <c r="AU9" s="60" t="n"/>
      <c r="AV9" s="60" t="n"/>
      <c r="AW9" s="78">
        <f>AT9+AT12-AU9-AV9</f>
        <v/>
      </c>
      <c r="AX9" s="84" t="n"/>
      <c r="BA9" s="86" t="n"/>
      <c r="BB9" s="84" t="n"/>
      <c r="BE9" s="86" t="n"/>
      <c r="BF9" s="74" t="n"/>
      <c r="BG9" s="66" t="n"/>
      <c r="BH9" s="66" t="n"/>
      <c r="BI9" s="75" t="n"/>
    </row>
    <row r="10" ht="15.6" customHeight="1" s="85" thickBot="1" thickTop="1">
      <c r="A10" s="82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83" t="n"/>
      <c r="AU10" s="64" t="n"/>
      <c r="AV10" s="64" t="n"/>
      <c r="AW10" s="79" t="n"/>
      <c r="AX10" s="18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</row>
    <row r="11" ht="15.6" customHeight="1" s="85" thickTop="1">
      <c r="A11" s="19" t="inlineStr">
        <is>
          <t>Fach</t>
        </is>
      </c>
      <c r="B11" s="57" t="n"/>
      <c r="C11" s="58" t="n"/>
      <c r="D11" s="58" t="n"/>
      <c r="E11" s="59" t="n"/>
      <c r="F11" s="57" t="n"/>
      <c r="G11" s="58" t="n"/>
      <c r="H11" s="58" t="n"/>
      <c r="I11" s="59" t="n"/>
      <c r="J11" s="57" t="n"/>
      <c r="K11" s="58" t="n"/>
      <c r="L11" s="58" t="n"/>
      <c r="M11" s="59" t="n"/>
      <c r="N11" s="57" t="inlineStr">
        <is>
          <t>Politik (eA)</t>
        </is>
      </c>
      <c r="O11" s="58" t="n"/>
      <c r="P11" s="58" t="n"/>
      <c r="Q11" s="59" t="n"/>
      <c r="R11" s="57" t="inlineStr">
        <is>
          <t>Politik (gA)</t>
        </is>
      </c>
      <c r="S11" s="58" t="n"/>
      <c r="T11" s="58" t="n"/>
      <c r="U11" s="59" t="n"/>
      <c r="V11" s="57" t="n"/>
      <c r="W11" s="58" t="n"/>
      <c r="X11" s="58" t="n"/>
      <c r="Y11" s="59" t="n"/>
      <c r="Z11" s="57" t="n"/>
      <c r="AA11" s="58" t="n"/>
      <c r="AB11" s="58" t="n"/>
      <c r="AC11" s="59" t="n"/>
      <c r="AD11" s="57" t="inlineStr">
        <is>
          <t>Mathematik (eA)</t>
        </is>
      </c>
      <c r="AE11" s="58" t="n"/>
      <c r="AF11" s="58" t="n"/>
      <c r="AG11" s="59" t="n"/>
      <c r="AH11" s="57" t="inlineStr">
        <is>
          <t>Mathematik (gA)</t>
        </is>
      </c>
      <c r="AI11" s="58" t="n"/>
      <c r="AJ11" s="58" t="n"/>
      <c r="AK11" s="59" t="n"/>
      <c r="AL11" s="57" t="n"/>
      <c r="AM11" s="58" t="n"/>
      <c r="AN11" s="58" t="n"/>
      <c r="AO11" s="59" t="n"/>
      <c r="AP11" s="57" t="n"/>
      <c r="AQ11" s="58" t="n"/>
      <c r="AR11" s="58" t="n"/>
      <c r="AS11" s="59" t="n"/>
      <c r="AT11" s="24" t="n"/>
      <c r="AU11" s="64" t="n"/>
      <c r="AV11" s="64" t="n"/>
      <c r="AW11" s="79" t="n"/>
      <c r="AX11" s="57" t="inlineStr">
        <is>
          <t>Sport (Bewegung)</t>
        </is>
      </c>
      <c r="AY11" s="58" t="n"/>
      <c r="AZ11" s="58" t="n"/>
      <c r="BA11" s="59" t="n"/>
      <c r="BB11" s="57" t="inlineStr">
        <is>
          <t>Sport (Training)</t>
        </is>
      </c>
      <c r="BC11" s="58" t="n"/>
      <c r="BD11" s="58" t="n"/>
      <c r="BE11" s="59" t="n"/>
      <c r="BF11" s="76" t="n"/>
      <c r="BG11" s="58" t="n"/>
      <c r="BH11" s="58" t="n"/>
      <c r="BI11" s="77" t="n"/>
    </row>
    <row r="12">
      <c r="A12" s="15" t="inlineStr">
        <is>
          <t>Jahrgang 12</t>
        </is>
      </c>
      <c r="B12" s="68" t="n"/>
      <c r="C12" s="66" t="n"/>
      <c r="D12" s="66" t="n"/>
      <c r="E12" s="67" t="n"/>
      <c r="F12" s="20" t="n"/>
      <c r="G12" s="60" t="n"/>
      <c r="H12" s="60" t="n"/>
      <c r="I12" s="62">
        <f>F12+F13-G12-H12</f>
        <v/>
      </c>
      <c r="J12" s="68" t="n"/>
      <c r="K12" s="66" t="n"/>
      <c r="L12" s="66" t="n"/>
      <c r="M12" s="67" t="n"/>
      <c r="N12" s="27" t="n"/>
      <c r="O12" s="60" t="n"/>
      <c r="P12" s="60" t="n"/>
      <c r="Q12" s="62">
        <f>N12-O12-P12</f>
        <v/>
      </c>
      <c r="R12" s="27" t="n"/>
      <c r="S12" s="60" t="n"/>
      <c r="T12" s="60" t="n"/>
      <c r="U12" s="62">
        <f>R12-S12-T12</f>
        <v/>
      </c>
      <c r="V12" s="20" t="n"/>
      <c r="W12" s="60" t="n"/>
      <c r="X12" s="60" t="n"/>
      <c r="Y12" s="62">
        <f>V12+V13-W12-X12</f>
        <v/>
      </c>
      <c r="Z12" s="20" t="n"/>
      <c r="AA12" s="60" t="n"/>
      <c r="AB12" s="60" t="n"/>
      <c r="AC12" s="62">
        <f>Z12+Z13-AA12-AB12</f>
        <v/>
      </c>
      <c r="AD12" s="20" t="n"/>
      <c r="AE12" s="60" t="n"/>
      <c r="AF12" s="60" t="n"/>
      <c r="AG12" s="62">
        <f>AD12+AD13-AE12-AF12</f>
        <v/>
      </c>
      <c r="AH12" s="20" t="n"/>
      <c r="AI12" s="60" t="n"/>
      <c r="AJ12" s="60" t="n"/>
      <c r="AK12" s="62">
        <f>AH12+AH13-AI12-AJ12</f>
        <v/>
      </c>
      <c r="AL12" s="20" t="n"/>
      <c r="AM12" s="60" t="n"/>
      <c r="AN12" s="60" t="n"/>
      <c r="AO12" s="62">
        <f>AL12+AL13-AM12-AN12</f>
        <v/>
      </c>
      <c r="AP12" s="68" t="n"/>
      <c r="AQ12" s="66" t="n"/>
      <c r="AR12" s="66" t="n"/>
      <c r="AS12" s="67" t="n"/>
      <c r="AT12" s="21" t="n"/>
      <c r="AU12" s="61" t="n"/>
      <c r="AV12" s="61" t="n"/>
      <c r="AW12" s="80" t="n"/>
      <c r="AX12" s="20" t="n"/>
      <c r="AY12" s="60" t="n"/>
      <c r="AZ12" s="60" t="n"/>
      <c r="BA12" s="62">
        <f>AX12+AX13-AY12-AZ12</f>
        <v/>
      </c>
      <c r="BB12" s="20" t="n"/>
      <c r="BC12" s="60" t="n"/>
      <c r="BD12" s="60" t="n"/>
      <c r="BE12" s="62">
        <f>BB12+BB13-BC12-BD12</f>
        <v/>
      </c>
      <c r="BF12" s="87" t="n"/>
      <c r="BG12" s="66" t="n"/>
      <c r="BH12" s="66" t="n"/>
      <c r="BI12" s="75" t="n"/>
    </row>
    <row r="13" ht="15" customHeight="1" s="85" thickBot="1">
      <c r="A13" s="16" t="inlineStr">
        <is>
          <t>Jahrgang 13</t>
        </is>
      </c>
      <c r="B13" s="71" t="n"/>
      <c r="C13" s="72" t="n"/>
      <c r="D13" s="72" t="n"/>
      <c r="E13" s="73" t="n"/>
      <c r="F13" s="25" t="n"/>
      <c r="G13" s="61" t="n"/>
      <c r="H13" s="61" t="n"/>
      <c r="I13" s="63" t="n"/>
      <c r="J13" s="71" t="n"/>
      <c r="K13" s="72" t="n"/>
      <c r="L13" s="72" t="n"/>
      <c r="M13" s="73" t="n"/>
      <c r="N13" s="7" t="n"/>
      <c r="O13" s="6" t="n"/>
      <c r="P13" s="6" t="n"/>
      <c r="Q13" s="8">
        <f>N13-O13-P13</f>
        <v/>
      </c>
      <c r="R13" s="93" t="inlineStr">
        <is>
          <t>s. Politik (eA)</t>
        </is>
      </c>
      <c r="S13" s="66" t="n"/>
      <c r="T13" s="66" t="n"/>
      <c r="U13" s="67" t="n"/>
      <c r="V13" s="25" t="n"/>
      <c r="W13" s="61" t="n"/>
      <c r="X13" s="61" t="n"/>
      <c r="Y13" s="63" t="n"/>
      <c r="Z13" s="25" t="n"/>
      <c r="AA13" s="61" t="n"/>
      <c r="AB13" s="61" t="n"/>
      <c r="AC13" s="63" t="n"/>
      <c r="AD13" s="25" t="n"/>
      <c r="AE13" s="61" t="n"/>
      <c r="AF13" s="61" t="n"/>
      <c r="AG13" s="63" t="n"/>
      <c r="AH13" s="25" t="n"/>
      <c r="AI13" s="61" t="n"/>
      <c r="AJ13" s="61" t="n"/>
      <c r="AK13" s="63" t="n"/>
      <c r="AL13" s="25" t="n"/>
      <c r="AM13" s="61" t="n"/>
      <c r="AN13" s="61" t="n"/>
      <c r="AO13" s="63" t="n"/>
      <c r="AP13" s="71" t="n"/>
      <c r="AQ13" s="72" t="n"/>
      <c r="AR13" s="72" t="n"/>
      <c r="AS13" s="73" t="n"/>
      <c r="AT13" s="89" t="n"/>
      <c r="AU13" s="66" t="n"/>
      <c r="AV13" s="66" t="n"/>
      <c r="AW13" s="67" t="n"/>
      <c r="AX13" s="25" t="n"/>
      <c r="AY13" s="61" t="n"/>
      <c r="AZ13" s="61" t="n"/>
      <c r="BA13" s="63" t="n"/>
      <c r="BB13" s="25" t="n"/>
      <c r="BC13" s="61" t="n"/>
      <c r="BD13" s="61" t="n"/>
      <c r="BE13" s="63" t="n"/>
      <c r="BF13" s="71" t="n"/>
      <c r="BG13" s="72" t="n"/>
      <c r="BH13" s="72" t="n"/>
      <c r="BI13" s="88" t="n"/>
    </row>
    <row r="14" ht="15" customHeight="1" s="85" thickBot="1" thickTop="1">
      <c r="A14" s="26" t="n"/>
      <c r="B14" s="26" t="n"/>
      <c r="C14" s="26" t="n"/>
      <c r="D14" s="26" t="n"/>
      <c r="E14" s="26" t="n"/>
      <c r="F14" s="26" t="n"/>
      <c r="G14" s="26" t="n"/>
      <c r="H14" s="26" t="n"/>
      <c r="I14" s="26" t="n"/>
      <c r="J14" s="26" t="n"/>
      <c r="K14" s="26" t="n"/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  <c r="AA14" s="26" t="n"/>
      <c r="AB14" s="26" t="n"/>
      <c r="AC14" s="26" t="n"/>
      <c r="AD14" s="26" t="n"/>
      <c r="AE14" s="26" t="n"/>
      <c r="AF14" s="26" t="n"/>
      <c r="AG14" s="26" t="n"/>
      <c r="AH14" s="26" t="n"/>
      <c r="AI14" s="26" t="n"/>
      <c r="AJ14" s="26" t="n"/>
      <c r="AK14" s="26" t="n"/>
      <c r="AL14" s="26" t="n"/>
      <c r="AM14" s="26" t="n"/>
      <c r="AN14" s="26" t="n"/>
      <c r="AO14" s="26" t="n"/>
      <c r="AP14" s="26" t="n"/>
      <c r="AQ14" s="26" t="n"/>
      <c r="AR14" s="26" t="n"/>
      <c r="AS14" s="26" t="n"/>
      <c r="AT14" s="26" t="n"/>
      <c r="AU14" s="26" t="n"/>
      <c r="AV14" s="26" t="n"/>
      <c r="AW14" s="26" t="n"/>
      <c r="AX14" s="26" t="n"/>
      <c r="AY14" s="26" t="n"/>
      <c r="AZ14" s="26" t="n"/>
      <c r="BA14" s="26" t="n"/>
      <c r="BB14" s="26" t="n"/>
      <c r="BC14" s="26" t="n"/>
      <c r="BD14" s="26" t="n"/>
      <c r="BE14" s="26" t="n"/>
      <c r="BF14" s="26" t="n"/>
      <c r="BG14" s="26" t="n"/>
      <c r="BH14" s="26" t="n"/>
      <c r="BI14" s="26" t="n"/>
    </row>
    <row r="15" ht="15.6" customHeight="1" s="85" thickBot="1" thickTop="1">
      <c r="A15" s="47" t="inlineStr">
        <is>
          <t>Stand</t>
        </is>
      </c>
      <c r="B15" s="94" t="n"/>
      <c r="C15" s="82" t="n"/>
      <c r="D15" s="82" t="n"/>
      <c r="E15" s="82" t="n"/>
      <c r="F15" s="82" t="n"/>
      <c r="G15" s="82" t="n"/>
      <c r="H15" s="83" t="n"/>
      <c r="I15" s="95" t="n"/>
      <c r="J15" s="96" t="n"/>
      <c r="K15" s="96" t="n"/>
      <c r="L15" s="96" t="n"/>
    </row>
    <row r="16" ht="15" customHeight="1" s="85" thickTop="1"/>
    <row r="17"/>
    <row r="18" ht="14.4" customHeight="1" s="85"/>
    <row r="19"/>
    <row r="20"/>
    <row r="21"/>
    <row r="22"/>
    <row r="23">
      <c r="E23" s="38" t="n"/>
      <c r="F23" s="39" t="n"/>
      <c r="G23" s="38" t="n"/>
      <c r="H23" s="40" t="n"/>
      <c r="I23" s="38" t="n"/>
      <c r="J23" s="41" t="n"/>
      <c r="K23" s="38" t="n"/>
      <c r="L23" s="38" t="n"/>
    </row>
    <row r="24">
      <c r="E24" s="38" t="n"/>
      <c r="F24" s="39" t="n"/>
      <c r="G24" s="38" t="n"/>
      <c r="H24" s="40" t="n"/>
      <c r="I24" s="38" t="n"/>
      <c r="J24" s="41" t="n"/>
      <c r="K24" s="38" t="n"/>
      <c r="L24" s="38" t="n"/>
    </row>
    <row r="25">
      <c r="E25" s="38" t="n"/>
      <c r="F25" s="39" t="n"/>
      <c r="G25" s="38" t="n"/>
      <c r="H25" s="40" t="n"/>
      <c r="I25" s="38" t="n"/>
      <c r="J25" s="41" t="n"/>
      <c r="K25" s="38" t="n"/>
      <c r="L25" s="38" t="n"/>
    </row>
    <row r="26">
      <c r="E26" s="38" t="n"/>
      <c r="F26" s="39" t="n"/>
      <c r="G26" s="38" t="n"/>
      <c r="H26" s="40" t="n"/>
      <c r="I26" s="38" t="n"/>
      <c r="J26" s="41" t="n"/>
      <c r="K26" s="38" t="n"/>
      <c r="L26" s="38" t="n"/>
    </row>
    <row r="27">
      <c r="E27" s="38" t="n"/>
      <c r="F27" s="39" t="n"/>
      <c r="G27" s="38" t="n"/>
      <c r="H27" s="40" t="n"/>
      <c r="I27" s="38" t="n"/>
      <c r="J27" s="41" t="n"/>
      <c r="K27" s="38" t="n"/>
      <c r="L27" s="38" t="n"/>
    </row>
    <row r="28">
      <c r="E28" s="38" t="n"/>
      <c r="F28" s="39" t="n"/>
      <c r="G28" s="38" t="n"/>
      <c r="H28" s="40" t="n"/>
      <c r="I28" s="38" t="n"/>
      <c r="J28" s="41" t="n"/>
      <c r="K28" s="38" t="n"/>
      <c r="L28" s="38" t="n"/>
    </row>
    <row r="29">
      <c r="E29" s="38" t="n"/>
      <c r="F29" s="39" t="n"/>
      <c r="G29" s="38" t="n"/>
      <c r="H29" s="40" t="n"/>
      <c r="I29" s="38" t="n"/>
      <c r="J29" s="41" t="n"/>
      <c r="K29" s="38" t="n"/>
      <c r="L29" s="38" t="n"/>
    </row>
  </sheetData>
  <mergeCells count="142">
    <mergeCell ref="AN5:AN6"/>
    <mergeCell ref="L3:L4"/>
    <mergeCell ref="BE4:BE7"/>
    <mergeCell ref="X3:X4"/>
    <mergeCell ref="R3:U5"/>
    <mergeCell ref="M7:M8"/>
    <mergeCell ref="AL1:AO1"/>
    <mergeCell ref="AB12:AB13"/>
    <mergeCell ref="L5:L6"/>
    <mergeCell ref="N11:Q11"/>
    <mergeCell ref="AF12:AF13"/>
    <mergeCell ref="P7:P8"/>
    <mergeCell ref="AM7:AM8"/>
    <mergeCell ref="Z11:AC11"/>
    <mergeCell ref="AZ12:AZ13"/>
    <mergeCell ref="AL11:AO11"/>
    <mergeCell ref="AP9:AS9"/>
    <mergeCell ref="R13:U13"/>
    <mergeCell ref="BD4:BD7"/>
    <mergeCell ref="AG12:AG13"/>
    <mergeCell ref="AI12:AI13"/>
    <mergeCell ref="BF3:BI3"/>
    <mergeCell ref="AN7:AN8"/>
    <mergeCell ref="AS3:AS4"/>
    <mergeCell ref="AX11:BA11"/>
    <mergeCell ref="AF7:AF8"/>
    <mergeCell ref="AU3:AU4"/>
    <mergeCell ref="J12:M13"/>
    <mergeCell ref="B1:E1"/>
    <mergeCell ref="AS5:AS6"/>
    <mergeCell ref="N1:Q1"/>
    <mergeCell ref="G12:G13"/>
    <mergeCell ref="AU5:AU6"/>
    <mergeCell ref="AV7:AV8"/>
    <mergeCell ref="AY12:AY13"/>
    <mergeCell ref="BA12:BA13"/>
    <mergeCell ref="AK12:AK13"/>
    <mergeCell ref="O5:O6"/>
    <mergeCell ref="Q5:Q6"/>
    <mergeCell ref="B15:H15"/>
    <mergeCell ref="AY4:AY5"/>
    <mergeCell ref="AX6:BA9"/>
    <mergeCell ref="BB8:BE9"/>
    <mergeCell ref="Z1:AC1"/>
    <mergeCell ref="AT1:AW1"/>
    <mergeCell ref="W7:W8"/>
    <mergeCell ref="BF12:BI13"/>
    <mergeCell ref="BF1:BI1"/>
    <mergeCell ref="AT13:AW13"/>
    <mergeCell ref="Y7:Y8"/>
    <mergeCell ref="AX1:BA1"/>
    <mergeCell ref="AA7:AA8"/>
    <mergeCell ref="AN12:AN13"/>
    <mergeCell ref="X5:X6"/>
    <mergeCell ref="AS7:AS8"/>
    <mergeCell ref="J1:M1"/>
    <mergeCell ref="AU7:AU8"/>
    <mergeCell ref="AV5:AV6"/>
    <mergeCell ref="H12:H13"/>
    <mergeCell ref="AV9:AV12"/>
    <mergeCell ref="B11:E11"/>
    <mergeCell ref="BC4:BC7"/>
    <mergeCell ref="K3:K4"/>
    <mergeCell ref="J11:M11"/>
    <mergeCell ref="Y3:Y4"/>
    <mergeCell ref="AD3:AG6"/>
    <mergeCell ref="AP12:AS13"/>
    <mergeCell ref="L7:L8"/>
    <mergeCell ref="V11:Y11"/>
    <mergeCell ref="K5:K6"/>
    <mergeCell ref="M5:M6"/>
    <mergeCell ref="AP11:AS11"/>
    <mergeCell ref="AH11:AK11"/>
    <mergeCell ref="W5:W6"/>
    <mergeCell ref="Y5:Y6"/>
    <mergeCell ref="BF9:BI9"/>
    <mergeCell ref="AC3:AC4"/>
    <mergeCell ref="AC12:AC13"/>
    <mergeCell ref="AE12:AE13"/>
    <mergeCell ref="AO3:AO4"/>
    <mergeCell ref="AQ3:AQ4"/>
    <mergeCell ref="AO12:AO13"/>
    <mergeCell ref="AA5:AA6"/>
    <mergeCell ref="AC5:AC6"/>
    <mergeCell ref="BF11:BI11"/>
    <mergeCell ref="R1:U1"/>
    <mergeCell ref="AO5:AO6"/>
    <mergeCell ref="AQ5:AQ6"/>
    <mergeCell ref="M3:M4"/>
    <mergeCell ref="AW9:AW12"/>
    <mergeCell ref="BC12:BC13"/>
    <mergeCell ref="BE12:BE13"/>
    <mergeCell ref="AG7:AG8"/>
    <mergeCell ref="AR5:AR6"/>
    <mergeCell ref="BA4:BA5"/>
    <mergeCell ref="AB3:AB4"/>
    <mergeCell ref="V1:Y1"/>
    <mergeCell ref="O7:O8"/>
    <mergeCell ref="Q7:Q8"/>
    <mergeCell ref="AP1:AS1"/>
    <mergeCell ref="AH1:AK1"/>
    <mergeCell ref="P5:P6"/>
    <mergeCell ref="AR7:AR8"/>
    <mergeCell ref="X12:X13"/>
    <mergeCell ref="AJ12:AJ13"/>
    <mergeCell ref="AO7:AO8"/>
    <mergeCell ref="AV3:AV4"/>
    <mergeCell ref="AD11:AG11"/>
    <mergeCell ref="AQ7:AQ8"/>
    <mergeCell ref="BD12:BD13"/>
    <mergeCell ref="B12:E13"/>
    <mergeCell ref="AX3:BA3"/>
    <mergeCell ref="X7:X8"/>
    <mergeCell ref="AW3:AW4"/>
    <mergeCell ref="AZ4:AZ5"/>
    <mergeCell ref="BB11:BE11"/>
    <mergeCell ref="F1:I1"/>
    <mergeCell ref="AM5:AM6"/>
    <mergeCell ref="AW5:AW6"/>
    <mergeCell ref="AU9:AU12"/>
    <mergeCell ref="F11:I11"/>
    <mergeCell ref="I12:I13"/>
    <mergeCell ref="AD9:AG9"/>
    <mergeCell ref="W3:W4"/>
    <mergeCell ref="BB3:BE3"/>
    <mergeCell ref="R11:U11"/>
    <mergeCell ref="W12:W13"/>
    <mergeCell ref="AB7:AB8"/>
    <mergeCell ref="AA3:AA4"/>
    <mergeCell ref="Y12:Y13"/>
    <mergeCell ref="AA12:AA13"/>
    <mergeCell ref="AR3:AR4"/>
    <mergeCell ref="K7:K8"/>
    <mergeCell ref="AM3:AM4"/>
    <mergeCell ref="AM12:AM13"/>
    <mergeCell ref="AD1:AG1"/>
    <mergeCell ref="AN3:AN4"/>
    <mergeCell ref="AC7:AC8"/>
    <mergeCell ref="BB1:BE1"/>
    <mergeCell ref="AE7:AE8"/>
    <mergeCell ref="AB5:AB6"/>
    <mergeCell ref="AW7:AW8"/>
  </mergeCells>
  <conditionalFormatting sqref="E3:E9 I3:I9 I12 M3 M5 M7 M9 Q3:Q5 Q7 Q9 Q12:Q13 U6:U9 U12 Y3 Y5 Y7 Y9 Y12 AC3 AC5 AC7 AC9 AC12 AG7 AG12 AK3:AK9 AK12 AO3 AO5 AO7 AO9 AO12 AS3 AS5 AS7 AW3 AW5 AW7 AW9 BA4 BA12 BE4 BE12 BI4:BI8">
    <cfRule type="containsText" priority="1" operator="containsText" dxfId="5" text=" ">
      <formula>NOT(ISERROR(SEARCH(" ",E3)))</formula>
    </cfRule>
    <cfRule type="cellIs" priority="2" operator="greaterThan" dxfId="4">
      <formula>0</formula>
    </cfRule>
    <cfRule type="expression" priority="87" dxfId="3">
      <formula>AND((E3+D3)&gt;0,E3&lt;=0)</formula>
    </cfRule>
    <cfRule type="cellIs" priority="88" operator="between" dxfId="2">
      <formula>0</formula>
      <formula>-4</formula>
    </cfRule>
    <cfRule type="cellIs" priority="89" operator="lessThan" dxfId="1">
      <formula>-4</formula>
    </cfRule>
    <cfRule type="expression" priority="90" dxfId="0" stopIfTrue="1">
      <formula>0=1</formula>
    </cfRule>
  </conditionalFormatting>
  <pageMargins left="0.7" right="0.7" top="0.787401575" bottom="0.787401575" header="0.3" footer="0.3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F15" sqref="F15"/>
    </sheetView>
  </sheetViews>
  <sheetFormatPr baseColWidth="10" defaultRowHeight="14.4"/>
  <cols>
    <col width="11.5546875" customWidth="1" style="85" min="1" max="1"/>
    <col width="9.5546875" customWidth="1" style="31" min="2" max="2"/>
    <col width="17.33203125" customWidth="1" style="85" min="3" max="3"/>
    <col width="5.5546875" customWidth="1" style="85" min="4" max="4"/>
    <col width="50.6640625" customWidth="1" style="85" min="5" max="5"/>
    <col width="12.44140625" customWidth="1" style="85" min="6" max="6"/>
    <col width="16.88671875" customWidth="1" style="85" min="7" max="7"/>
    <col width="10" customWidth="1" style="97" min="8" max="8"/>
    <col width="20.6640625" customWidth="1" style="97" min="9" max="9"/>
    <col width="5.44140625" customWidth="1" style="85" min="10" max="10"/>
    <col width="7.109375" customWidth="1" style="85" min="11" max="11"/>
    <col width="8.6640625" customWidth="1" style="85" min="12" max="12"/>
    <col width="11.5546875" customWidth="1" style="97" min="13" max="13"/>
  </cols>
  <sheetData>
    <row r="1">
      <c r="A1" s="55" t="inlineStr">
        <is>
          <t>Bestell Nr.</t>
        </is>
      </c>
      <c r="B1" s="32" t="inlineStr">
        <is>
          <t>Jahrgang</t>
        </is>
      </c>
      <c r="C1" s="55" t="inlineStr">
        <is>
          <t>Fach</t>
        </is>
      </c>
      <c r="D1" s="55" t="inlineStr">
        <is>
          <t>Stückzahl</t>
        </is>
      </c>
      <c r="E1" s="55" t="inlineStr">
        <is>
          <t>Verfasser/Titel</t>
        </is>
      </c>
      <c r="F1" s="55" t="inlineStr">
        <is>
          <t>Verlag</t>
        </is>
      </c>
      <c r="G1" s="55" t="inlineStr">
        <is>
          <t>Best.-Nr. (ISBN)</t>
        </is>
      </c>
      <c r="H1" s="55" t="inlineStr">
        <is>
          <t>Einzelpreis (brutto)</t>
        </is>
      </c>
      <c r="I1" s="56" t="inlineStr">
        <is>
          <t>Gesamtpreis (brutto)</t>
        </is>
      </c>
      <c r="K1" t="inlineStr">
        <is>
          <t>Bestell Lfd. Nr.</t>
        </is>
      </c>
      <c r="L1" t="inlineStr">
        <is>
          <t>Stückzahl</t>
        </is>
      </c>
      <c r="M1" s="97" t="inlineStr">
        <is>
          <t>Gesamtpreis</t>
        </is>
      </c>
      <c r="N1" s="42" t="n">
        <v>-0.12</v>
      </c>
    </row>
    <row r="2">
      <c r="H2" s="97" t="n"/>
      <c r="I2" s="97">
        <f>IF(OR(zuBestellen[[#This Row],[Stückzahl]]="",zuBestellen[[#This Row],[Einzelpreis (brutto)]]=""),"",zuBestellen[[#This Row],[Stückzahl]]*zuBestellen[[#This Row],[Einzelpreis (brutto)]])</f>
        <v/>
      </c>
      <c r="K2" t="n">
        <v>3</v>
      </c>
      <c r="L2">
        <f>SUMIF(zuBestellen[Bestell Nr.],K2,zuBestellen[Stückzahl])</f>
        <v/>
      </c>
      <c r="M2" s="97">
        <f>SUMIF(zuBestellen[Bestell Nr.],K2,zuBestellen[Gesamtpreis (brutto)])</f>
        <v/>
      </c>
      <c r="N2" s="97">
        <f>M2*0.88</f>
        <v/>
      </c>
    </row>
    <row r="3">
      <c r="H3" s="97" t="n"/>
      <c r="I3" s="97">
        <f>IF(OR(zuBestellen[[#This Row],[Stückzahl]]="",zuBestellen[[#This Row],[Einzelpreis (brutto)]]=""),"",zuBestellen[[#This Row],[Stückzahl]]*zuBestellen[[#This Row],[Einzelpreis (brutto)]])</f>
        <v/>
      </c>
      <c r="K3" t="n">
        <v>4</v>
      </c>
      <c r="L3">
        <f>SUMIF(zuBestellen[Bestell Nr.],K3,zuBestellen[Stückzahl])</f>
        <v/>
      </c>
      <c r="M3" s="97">
        <f>SUMIF(zuBestellen[Bestell Nr.],K3,zuBestellen[Gesamtpreis (brutto)])</f>
        <v/>
      </c>
      <c r="N3" s="97">
        <f>M3*0.88</f>
        <v/>
      </c>
    </row>
    <row r="4">
      <c r="H4" s="97" t="n"/>
      <c r="I4" s="97">
        <f>IF(OR(zuBestellen[[#This Row],[Stückzahl]]="",zuBestellen[[#This Row],[Einzelpreis (brutto)]]=""),"",zuBestellen[[#This Row],[Stückzahl]]*zuBestellen[[#This Row],[Einzelpreis (brutto)]])</f>
        <v/>
      </c>
      <c r="K4" t="n">
        <v>5</v>
      </c>
      <c r="L4">
        <f>SUMIF(zuBestellen[Bestell Nr.],K4,zuBestellen[Stückzahl])</f>
        <v/>
      </c>
      <c r="M4" s="97">
        <f>SUMIF(zuBestellen[Bestell Nr.],K4,zuBestellen[Gesamtpreis (brutto)])</f>
        <v/>
      </c>
      <c r="N4" s="97">
        <f>M4*0.88</f>
        <v/>
      </c>
    </row>
    <row r="5">
      <c r="H5" s="97" t="n"/>
      <c r="I5" s="97">
        <f>IF(OR(zuBestellen[[#This Row],[Stückzahl]]="",zuBestellen[[#This Row],[Einzelpreis (brutto)]]=""),"",zuBestellen[[#This Row],[Stückzahl]]*zuBestellen[[#This Row],[Einzelpreis (brutto)]])</f>
        <v/>
      </c>
      <c r="K5" t="n">
        <v>6</v>
      </c>
      <c r="L5">
        <f>SUMIF(zuBestellen[Bestell Nr.],K5,zuBestellen[Stückzahl])</f>
        <v/>
      </c>
      <c r="M5" s="97">
        <f>SUMIF(zuBestellen[Bestell Nr.],K5,zuBestellen[Gesamtpreis (brutto)])</f>
        <v/>
      </c>
      <c r="N5" s="97">
        <f>M5*0.88</f>
        <v/>
      </c>
    </row>
    <row r="6">
      <c r="H6" s="97" t="n"/>
      <c r="I6" s="97">
        <f>IF(OR(zuBestellen[[#This Row],[Stückzahl]]="",zuBestellen[[#This Row],[Einzelpreis (brutto)]]=""),"",zuBestellen[[#This Row],[Stückzahl]]*zuBestellen[[#This Row],[Einzelpreis (brutto)]])</f>
        <v/>
      </c>
      <c r="K6" t="n">
        <v>7</v>
      </c>
      <c r="L6">
        <f>SUMIF(zuBestellen[Bestell Nr.],K6,zuBestellen[Stückzahl])</f>
        <v/>
      </c>
      <c r="M6" s="97">
        <f>SUMIF(zuBestellen[Bestell Nr.],K6,zuBestellen[Gesamtpreis (brutto)])</f>
        <v/>
      </c>
      <c r="N6" s="97">
        <f>M6*0.88</f>
        <v/>
      </c>
    </row>
    <row r="7">
      <c r="D7">
        <f>SUBTOTAL(109,zuBestellen[Stückzahl])</f>
        <v/>
      </c>
      <c r="I7" s="97">
        <f>SUBTOTAL(109,zuBestellen[Gesamtpreis (brutto)])</f>
        <v/>
      </c>
      <c r="K7" t="n">
        <v>8</v>
      </c>
      <c r="L7">
        <f>SUMIF(zuBestellen[Bestell Nr.],K7,zuBestellen[Stückzahl])</f>
        <v/>
      </c>
      <c r="M7" s="97">
        <f>SUMIF(zuBestellen[Bestell Nr.],K7,zuBestellen[Gesamtpreis (brutto)])</f>
        <v/>
      </c>
      <c r="N7" s="97">
        <f>M7*0.88</f>
        <v/>
      </c>
    </row>
    <row r="8">
      <c r="K8" t="inlineStr">
        <is>
          <t>Summe:</t>
        </is>
      </c>
      <c r="L8">
        <f>SUM(L2:L7)</f>
        <v/>
      </c>
      <c r="M8" s="97">
        <f>SUM(M2:M7)</f>
        <v/>
      </c>
      <c r="N8" s="97">
        <f>M8*0.88</f>
        <v/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B37" s="33" t="n"/>
    </row>
  </sheetData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Tabelle2">
    <outlinePr summaryBelow="1" summaryRight="1"/>
    <pageSetUpPr/>
  </sheetPr>
  <dimension ref="A1:M14"/>
  <sheetViews>
    <sheetView workbookViewId="0">
      <selection activeCell="G18" sqref="G18"/>
    </sheetView>
  </sheetViews>
  <sheetFormatPr baseColWidth="10" defaultRowHeight="14.4"/>
  <cols>
    <col width="11.44140625" customWidth="1" style="85" min="1" max="1"/>
    <col width="31.33203125" customWidth="1" style="85" min="4" max="4"/>
    <col width="18.109375" customWidth="1" style="85" min="6" max="6"/>
    <col width="18.6640625" customWidth="1" style="97" min="7" max="7"/>
    <col width="20.33203125" customWidth="1" style="97" min="8" max="8"/>
  </cols>
  <sheetData>
    <row r="1">
      <c r="A1" s="30" t="inlineStr">
        <is>
          <t>B. Lfd.-Nr.</t>
        </is>
      </c>
      <c r="B1" s="55" t="inlineStr">
        <is>
          <t>Lfd. Nr.</t>
        </is>
      </c>
      <c r="C1" s="55" t="inlineStr">
        <is>
          <t>Stückzahl</t>
        </is>
      </c>
      <c r="D1" s="55" t="inlineStr">
        <is>
          <t>Verfasser/Titel</t>
        </is>
      </c>
      <c r="E1" s="55" t="inlineStr">
        <is>
          <t>Verlag</t>
        </is>
      </c>
      <c r="F1" s="55" t="inlineStr">
        <is>
          <t>Best.-Nr. (ISBN)</t>
        </is>
      </c>
      <c r="G1" s="98" t="inlineStr">
        <is>
          <t>Einzelpreis (brutto)</t>
        </is>
      </c>
      <c r="H1" s="99" t="inlineStr">
        <is>
          <t>Gesamtpreis (brutto)</t>
        </is>
      </c>
      <c r="J1" t="inlineStr">
        <is>
          <t>Bestell Lfd. Nr.</t>
        </is>
      </c>
      <c r="K1" t="inlineStr">
        <is>
          <t>Stückzahl</t>
        </is>
      </c>
      <c r="L1" s="97" t="inlineStr">
        <is>
          <t>Gesamtpreis</t>
        </is>
      </c>
      <c r="M1" s="42" t="n">
        <v>-0.12</v>
      </c>
    </row>
    <row r="2">
      <c r="G2" s="97" t="n"/>
      <c r="H2" s="97">
        <f>IF(OR(bestellt[[#This Row],[Stückzahl]]="",bestellt[[#This Row],[Einzelpreis (brutto)]]=""),"",bestellt[[#This Row],[Stückzahl]]*bestellt[[#This Row],[Einzelpreis (brutto)]])</f>
        <v/>
      </c>
      <c r="J2" t="n">
        <v>1</v>
      </c>
      <c r="K2">
        <f>SUMIF(bestellt[B. Lfd.-Nr.],J2,bestellt[Stückzahl])</f>
        <v/>
      </c>
      <c r="L2" s="97">
        <f>SUMIF(bestellt[B. Lfd.-Nr.],J2,bestellt[Gesamtpreis (brutto)])</f>
        <v/>
      </c>
      <c r="M2" s="97">
        <f>L2*0.88</f>
        <v/>
      </c>
    </row>
    <row r="3">
      <c r="G3" s="97" t="n"/>
      <c r="H3" s="97">
        <f>IF(OR(bestellt[[#This Row],[Stückzahl]]="",bestellt[[#This Row],[Einzelpreis (brutto)]]=""),"",bestellt[[#This Row],[Stückzahl]]*bestellt[[#This Row],[Einzelpreis (brutto)]])</f>
        <v/>
      </c>
      <c r="J3" t="n">
        <v>2</v>
      </c>
      <c r="K3">
        <f>SUMIF(bestellt[B. Lfd.-Nr.],J3,bestellt[Stückzahl])</f>
        <v/>
      </c>
      <c r="L3" s="97">
        <f>SUMIF(bestellt[B. Lfd.-Nr.],J3,bestellt[Gesamtpreis (brutto)])</f>
        <v/>
      </c>
      <c r="M3" s="97">
        <f>L3*0.88</f>
        <v/>
      </c>
    </row>
    <row r="4">
      <c r="G4" s="97" t="n"/>
      <c r="H4" s="97">
        <f>IF(OR(bestellt[[#This Row],[Stückzahl]]="",bestellt[[#This Row],[Einzelpreis (brutto)]]=""),"",bestellt[[#This Row],[Stückzahl]]*bestellt[[#This Row],[Einzelpreis (brutto)]])</f>
        <v/>
      </c>
      <c r="J4" t="n">
        <v>3</v>
      </c>
      <c r="K4">
        <f>SUMIF(bestellt[B. Lfd.-Nr.],J4,bestellt[Stückzahl])</f>
        <v/>
      </c>
      <c r="L4" s="97">
        <f>SUMIF(bestellt[B. Lfd.-Nr.],J4,bestellt[Gesamtpreis (brutto)])</f>
        <v/>
      </c>
      <c r="M4" s="97">
        <f>L4*0.88</f>
        <v/>
      </c>
    </row>
    <row r="5">
      <c r="F5" s="97" t="n"/>
      <c r="G5" s="97" t="n"/>
      <c r="H5" s="97">
        <f>IF(OR(bestellt[[#This Row],[Stückzahl]]="",bestellt[[#This Row],[Einzelpreis (brutto)]]=""),"",bestellt[[#This Row],[Stückzahl]]*bestellt[[#This Row],[Einzelpreis (brutto)]])</f>
        <v/>
      </c>
      <c r="J5" t="n">
        <v>4</v>
      </c>
      <c r="K5">
        <f>SUMIF(bestellt[B. Lfd.-Nr.],J5,bestellt[Stückzahl])</f>
        <v/>
      </c>
      <c r="L5" s="97">
        <f>SUMIF(bestellt[B. Lfd.-Nr.],J5,bestellt[Gesamtpreis (brutto)])</f>
        <v/>
      </c>
      <c r="M5" s="97">
        <f>L5*0.88</f>
        <v/>
      </c>
    </row>
    <row r="6">
      <c r="F6" s="97" t="n"/>
      <c r="G6" s="97" t="n"/>
      <c r="H6" s="97">
        <f>IF(OR(bestellt[[#This Row],[Stückzahl]]="",bestellt[[#This Row],[Einzelpreis (brutto)]]=""),"",bestellt[[#This Row],[Stückzahl]]*bestellt[[#This Row],[Einzelpreis (brutto)]])</f>
        <v/>
      </c>
      <c r="J6" t="n">
        <v>5</v>
      </c>
      <c r="K6">
        <f>SUMIF(bestellt[B. Lfd.-Nr.],J6,bestellt[Stückzahl])</f>
        <v/>
      </c>
      <c r="L6" s="97">
        <f>SUMIF(bestellt[B. Lfd.-Nr.],J6,bestellt[Gesamtpreis (brutto)])</f>
        <v/>
      </c>
      <c r="M6" s="97">
        <f>L6*0.88</f>
        <v/>
      </c>
    </row>
    <row r="7">
      <c r="F7" s="97" t="n"/>
      <c r="G7" s="97" t="n"/>
      <c r="H7" s="97">
        <f>IF(OR(bestellt[[#This Row],[Stückzahl]]="",bestellt[[#This Row],[Einzelpreis (brutto)]]=""),"",bestellt[[#This Row],[Stückzahl]]*bestellt[[#This Row],[Einzelpreis (brutto)]])</f>
        <v/>
      </c>
      <c r="J7" t="n">
        <v>6</v>
      </c>
      <c r="K7">
        <f>SUMIF(bestellt[B. Lfd.-Nr.],J7,bestellt[Stückzahl])</f>
        <v/>
      </c>
      <c r="L7" s="97">
        <f>SUMIF(bestellt[B. Lfd.-Nr.],J7,bestellt[Gesamtpreis (brutto)])</f>
        <v/>
      </c>
      <c r="M7" s="97">
        <f>L7*0.88</f>
        <v/>
      </c>
    </row>
    <row r="8">
      <c r="G8" s="97" t="n"/>
      <c r="H8" s="97">
        <f>IF(OR(bestellt[[#This Row],[Stückzahl]]="",bestellt[[#This Row],[Einzelpreis (brutto)]]=""),"",bestellt[[#This Row],[Stückzahl]]*bestellt[[#This Row],[Einzelpreis (brutto)]])</f>
        <v/>
      </c>
      <c r="J8" t="n">
        <v>7</v>
      </c>
      <c r="K8">
        <f>SUMIF(bestellt[B. Lfd.-Nr.],J8,bestellt[Stückzahl])</f>
        <v/>
      </c>
      <c r="L8" s="97">
        <f>SUMIF(bestellt[B. Lfd.-Nr.],J8,bestellt[Gesamtpreis (brutto)])</f>
        <v/>
      </c>
      <c r="M8" s="97">
        <f>L8*0.88</f>
        <v/>
      </c>
    </row>
    <row r="9">
      <c r="J9" t="n">
        <v>8</v>
      </c>
      <c r="K9">
        <f>SUMIF(bestellt[B. Lfd.-Nr.],J9,bestellt[Stückzahl])</f>
        <v/>
      </c>
      <c r="L9" s="97">
        <f>SUMIF(bestellt[B. Lfd.-Nr.],J9,bestellt[Gesamtpreis (brutto)])</f>
        <v/>
      </c>
      <c r="M9" s="97">
        <f>L9*0.88</f>
        <v/>
      </c>
    </row>
    <row r="10">
      <c r="J10" t="n">
        <v>9</v>
      </c>
      <c r="K10">
        <f>SUMIF(bestellt[B. Lfd.-Nr.],J10,bestellt[Stückzahl])</f>
        <v/>
      </c>
      <c r="L10" s="97">
        <f>SUMIF(bestellt[B. Lfd.-Nr.],J10,bestellt[Gesamtpreis (brutto)])</f>
        <v/>
      </c>
      <c r="M10" s="97">
        <f>L10*0.88</f>
        <v/>
      </c>
    </row>
    <row r="11">
      <c r="J11" t="n">
        <v>10</v>
      </c>
      <c r="K11">
        <f>SUMIF(bestellt[B. Lfd.-Nr.],J11,bestellt[Stückzahl])</f>
        <v/>
      </c>
      <c r="L11" s="97">
        <f>SUMIF(bestellt[B. Lfd.-Nr.],J11,bestellt[Gesamtpreis (brutto)])</f>
        <v/>
      </c>
      <c r="M11" s="97">
        <f>L11*0.88</f>
        <v/>
      </c>
    </row>
    <row r="12">
      <c r="J12" t="n">
        <v>11</v>
      </c>
      <c r="K12">
        <f>SUMIF(bestellt[B. Lfd.-Nr.],J12,bestellt[Stückzahl])</f>
        <v/>
      </c>
      <c r="L12" s="97">
        <f>SUMIF(bestellt[B. Lfd.-Nr.],J12,bestellt[Gesamtpreis (brutto)])</f>
        <v/>
      </c>
      <c r="M12" s="97">
        <f>L12*0.88</f>
        <v/>
      </c>
    </row>
    <row r="13">
      <c r="J13" t="inlineStr">
        <is>
          <t>Summe:</t>
        </is>
      </c>
      <c r="K13">
        <f>SUM(K2:K12)</f>
        <v/>
      </c>
      <c r="L13" s="97">
        <f>SUM(L2:L12)</f>
        <v/>
      </c>
      <c r="M13" s="97">
        <f>L13*0.88</f>
        <v/>
      </c>
    </row>
    <row r="14"/>
  </sheetData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Tabelle3">
    <outlinePr summaryBelow="1" summaryRight="1"/>
    <pageSetUpPr/>
  </sheetPr>
  <dimension ref="A1:M42"/>
  <sheetViews>
    <sheetView workbookViewId="0">
      <selection activeCell="G15" sqref="G15"/>
    </sheetView>
  </sheetViews>
  <sheetFormatPr baseColWidth="10" defaultRowHeight="14.4"/>
  <cols>
    <col width="11.44140625" customWidth="1" style="85" min="1" max="1"/>
    <col width="25.5546875" customWidth="1" style="85" min="4" max="4"/>
    <col width="16" customWidth="1" style="85" min="6" max="6"/>
    <col width="18.6640625" customWidth="1" style="97" min="7" max="7"/>
    <col width="20.33203125" customWidth="1" style="97" min="8" max="8"/>
  </cols>
  <sheetData>
    <row r="1">
      <c r="A1" s="30" t="inlineStr">
        <is>
          <t>B. Lfd.-Nr.</t>
        </is>
      </c>
      <c r="B1" s="55" t="inlineStr">
        <is>
          <t>Lfd. Nr.</t>
        </is>
      </c>
      <c r="C1" s="55" t="inlineStr">
        <is>
          <t>Stückzahl</t>
        </is>
      </c>
      <c r="D1" s="55" t="inlineStr">
        <is>
          <t>Verfasser/Titel</t>
        </is>
      </c>
      <c r="E1" s="55" t="inlineStr">
        <is>
          <t>Verlag</t>
        </is>
      </c>
      <c r="F1" s="55" t="inlineStr">
        <is>
          <t>Best.-Nr. (ISBN)</t>
        </is>
      </c>
      <c r="G1" s="98" t="inlineStr">
        <is>
          <t>Einzelpreis (brutto)</t>
        </is>
      </c>
      <c r="H1" s="99" t="inlineStr">
        <is>
          <t>Gesamtpreis (brutto)</t>
        </is>
      </c>
      <c r="J1" t="inlineStr">
        <is>
          <t>Bestell Lfd. Nr.</t>
        </is>
      </c>
      <c r="K1" t="inlineStr">
        <is>
          <t>Stückzahl</t>
        </is>
      </c>
      <c r="L1" s="97" t="inlineStr">
        <is>
          <t>Gesamtpreis</t>
        </is>
      </c>
      <c r="M1" s="42" t="n">
        <v>-0.12</v>
      </c>
    </row>
    <row r="2">
      <c r="G2" s="97" t="n"/>
      <c r="H2" s="97">
        <f>IF(OR(erhalten[[#This Row],[Stückzahl]]="",erhalten[[#This Row],[Einzelpreis (brutto)]]=""),"",erhalten[[#This Row],[Stückzahl]]*erhalten[[#This Row],[Einzelpreis (brutto)]])</f>
        <v/>
      </c>
      <c r="J2" t="n">
        <v>1</v>
      </c>
      <c r="K2">
        <f>SUMIF(erhalten[B. Lfd.-Nr.],J2,erhalten[Stückzahl])</f>
        <v/>
      </c>
      <c r="L2" s="97">
        <f>SUMIF(erhalten[B. Lfd.-Nr.],J2,erhalten[Gesamtpreis (brutto)])</f>
        <v/>
      </c>
      <c r="M2" s="97">
        <f>L2*0.88</f>
        <v/>
      </c>
    </row>
    <row r="3">
      <c r="G3" s="97" t="n"/>
      <c r="H3" s="97">
        <f>IF(OR(erhalten[[#This Row],[Stückzahl]]="",erhalten[[#This Row],[Einzelpreis (brutto)]]=""),"",erhalten[[#This Row],[Stückzahl]]*erhalten[[#This Row],[Einzelpreis (brutto)]])</f>
        <v/>
      </c>
      <c r="J3" t="n">
        <v>2</v>
      </c>
      <c r="K3">
        <f>SUMIF(erhalten[B. Lfd.-Nr.],J3,erhalten[Stückzahl])</f>
        <v/>
      </c>
      <c r="L3" s="97">
        <f>SUMIF(erhalten[B. Lfd.-Nr.],J3,erhalten[Gesamtpreis (brutto)])</f>
        <v/>
      </c>
      <c r="M3" s="97">
        <f>L3*0.88</f>
        <v/>
      </c>
    </row>
    <row r="4">
      <c r="G4" s="97" t="n"/>
      <c r="H4" s="97">
        <f>IF(OR(erhalten[[#This Row],[Stückzahl]]="",erhalten[[#This Row],[Einzelpreis (brutto)]]=""),"",erhalten[[#This Row],[Stückzahl]]*erhalten[[#This Row],[Einzelpreis (brutto)]])</f>
        <v/>
      </c>
      <c r="J4" t="n">
        <v>3</v>
      </c>
      <c r="K4">
        <f>SUMIF(erhalten[B. Lfd.-Nr.],J4,erhalten[Stückzahl])</f>
        <v/>
      </c>
      <c r="L4" s="97">
        <f>SUMIF(erhalten[B. Lfd.-Nr.],J4,erhalten[Gesamtpreis (brutto)])</f>
        <v/>
      </c>
      <c r="M4" s="97">
        <f>L4*0.88</f>
        <v/>
      </c>
    </row>
    <row r="5">
      <c r="G5" s="97" t="n"/>
      <c r="H5" s="97">
        <f>IF(OR(erhalten[[#This Row],[Stückzahl]]="",erhalten[[#This Row],[Einzelpreis (brutto)]]=""),"",erhalten[[#This Row],[Stückzahl]]*erhalten[[#This Row],[Einzelpreis (brutto)]])</f>
        <v/>
      </c>
      <c r="J5" t="n">
        <v>4</v>
      </c>
      <c r="K5">
        <f>SUMIF(erhalten[B. Lfd.-Nr.],J5,erhalten[Stückzahl])</f>
        <v/>
      </c>
      <c r="L5" s="97">
        <f>SUMIF(erhalten[B. Lfd.-Nr.],J5,erhalten[Gesamtpreis (brutto)])</f>
        <v/>
      </c>
      <c r="M5" s="97">
        <f>L5*0.88</f>
        <v/>
      </c>
    </row>
    <row r="6">
      <c r="G6" s="97" t="n"/>
      <c r="H6" s="97">
        <f>IF(OR(erhalten[[#This Row],[Stückzahl]]="",erhalten[[#This Row],[Einzelpreis (brutto)]]=""),"",erhalten[[#This Row],[Stückzahl]]*erhalten[[#This Row],[Einzelpreis (brutto)]])</f>
        <v/>
      </c>
      <c r="J6" t="n">
        <v>5</v>
      </c>
      <c r="K6">
        <f>SUMIF(erhalten[B. Lfd.-Nr.],J6,erhalten[Stückzahl])</f>
        <v/>
      </c>
      <c r="L6" s="97">
        <f>SUMIF(erhalten[B. Lfd.-Nr.],J6,erhalten[Gesamtpreis (brutto)])</f>
        <v/>
      </c>
      <c r="M6" s="97">
        <f>L6*0.88</f>
        <v/>
      </c>
    </row>
    <row r="7">
      <c r="G7" s="97" t="n"/>
      <c r="H7" s="97">
        <f>IF(OR(erhalten[[#This Row],[Stückzahl]]="",erhalten[[#This Row],[Einzelpreis (brutto)]]=""),"",erhalten[[#This Row],[Stückzahl]]*erhalten[[#This Row],[Einzelpreis (brutto)]])</f>
        <v/>
      </c>
      <c r="J7" t="n">
        <v>6</v>
      </c>
      <c r="K7">
        <f>SUMIF(erhalten[B. Lfd.-Nr.],J7,erhalten[Stückzahl])</f>
        <v/>
      </c>
      <c r="L7" s="97">
        <f>SUMIF(erhalten[B. Lfd.-Nr.],J7,erhalten[Gesamtpreis (brutto)])</f>
        <v/>
      </c>
      <c r="M7" s="97">
        <f>L7*0.88</f>
        <v/>
      </c>
    </row>
    <row r="8">
      <c r="G8" s="97" t="n"/>
      <c r="H8" s="97">
        <f>IF(OR(erhalten[[#This Row],[Stückzahl]]="",erhalten[[#This Row],[Einzelpreis (brutto)]]=""),"",erhalten[[#This Row],[Stückzahl]]*erhalten[[#This Row],[Einzelpreis (brutto)]])</f>
        <v/>
      </c>
      <c r="J8" t="n">
        <v>7</v>
      </c>
      <c r="K8">
        <f>SUMIF(erhalten[B. Lfd.-Nr.],J8,erhalten[Stückzahl])</f>
        <v/>
      </c>
      <c r="L8" s="97">
        <f>SUMIF(erhalten[B. Lfd.-Nr.],J8,erhalten[Gesamtpreis (brutto)])</f>
        <v/>
      </c>
      <c r="M8" s="97">
        <f>L8*0.88</f>
        <v/>
      </c>
    </row>
    <row r="9">
      <c r="G9" s="97" t="n"/>
      <c r="H9" s="97">
        <f>IF(OR(erhalten[[#This Row],[Stückzahl]]="",erhalten[[#This Row],[Einzelpreis (brutto)]]=""),"",erhalten[[#This Row],[Stückzahl]]*erhalten[[#This Row],[Einzelpreis (brutto)]])</f>
        <v/>
      </c>
      <c r="J9" t="n">
        <v>8</v>
      </c>
      <c r="K9">
        <f>SUMIF(erhalten[B. Lfd.-Nr.],J9,erhalten[Stückzahl])</f>
        <v/>
      </c>
      <c r="L9" s="97">
        <f>SUMIF(erhalten[B. Lfd.-Nr.],J9,erhalten[Gesamtpreis (brutto)])</f>
        <v/>
      </c>
      <c r="M9" s="97">
        <f>L9*0.88</f>
        <v/>
      </c>
    </row>
    <row r="10">
      <c r="G10" s="97" t="n"/>
      <c r="H10" s="97">
        <f>IF(OR(erhalten[[#This Row],[Stückzahl]]="",erhalten[[#This Row],[Einzelpreis (brutto)]]=""),"",erhalten[[#This Row],[Stückzahl]]*erhalten[[#This Row],[Einzelpreis (brutto)]])</f>
        <v/>
      </c>
      <c r="J10" t="n">
        <v>9</v>
      </c>
      <c r="K10">
        <f>SUMIF(erhalten[B. Lfd.-Nr.],J10,erhalten[Stückzahl])</f>
        <v/>
      </c>
      <c r="L10" s="97">
        <f>SUMIF(erhalten[B. Lfd.-Nr.],J10,erhalten[Gesamtpreis (brutto)])</f>
        <v/>
      </c>
      <c r="M10" s="97">
        <f>L10*0.88</f>
        <v/>
      </c>
    </row>
    <row r="11">
      <c r="G11" s="97" t="n"/>
      <c r="H11" s="97">
        <f>IF(OR(erhalten[[#This Row],[Stückzahl]]="",erhalten[[#This Row],[Einzelpreis (brutto)]]=""),"",erhalten[[#This Row],[Stückzahl]]*erhalten[[#This Row],[Einzelpreis (brutto)]])</f>
        <v/>
      </c>
      <c r="J11" t="n">
        <v>10</v>
      </c>
      <c r="K11">
        <f>SUMIF(erhalten[B. Lfd.-Nr.],J11,erhalten[Stückzahl])</f>
        <v/>
      </c>
      <c r="L11" s="97">
        <f>SUMIF(erhalten[B. Lfd.-Nr.],J11,erhalten[Gesamtpreis (brutto)])</f>
        <v/>
      </c>
      <c r="M11" s="97">
        <f>L11*0.88</f>
        <v/>
      </c>
    </row>
    <row r="12">
      <c r="G12" s="97" t="n"/>
      <c r="H12" s="97">
        <f>IF(OR(erhalten[[#This Row],[Stückzahl]]="",erhalten[[#This Row],[Einzelpreis (brutto)]]=""),"",erhalten[[#This Row],[Stückzahl]]*erhalten[[#This Row],[Einzelpreis (brutto)]])</f>
        <v/>
      </c>
      <c r="J12" t="n">
        <v>11</v>
      </c>
      <c r="K12">
        <f>SUMIF(erhalten[B. Lfd.-Nr.],J12,erhalten[Stückzahl])</f>
        <v/>
      </c>
      <c r="L12" s="97">
        <f>SUMIF(erhalten[B. Lfd.-Nr.],J12,erhalten[Gesamtpreis (brutto)])</f>
        <v/>
      </c>
      <c r="M12" s="97">
        <f>L12*0.88</f>
        <v/>
      </c>
    </row>
    <row r="13">
      <c r="G13" s="97" t="n"/>
      <c r="H13" s="97">
        <f>IF(OR(erhalten[[#This Row],[Stückzahl]]="",erhalten[[#This Row],[Einzelpreis (brutto)]]=""),"",erhalten[[#This Row],[Stückzahl]]*erhalten[[#This Row],[Einzelpreis (brutto)]])</f>
        <v/>
      </c>
      <c r="J13" t="n">
        <v>12</v>
      </c>
      <c r="K13">
        <f>SUMIF(erhalten[B. Lfd.-Nr.],J13,erhalten[Stückzahl])</f>
        <v/>
      </c>
      <c r="L13" s="97">
        <f>SUMIF(erhalten[B. Lfd.-Nr.],J13,erhalten[Gesamtpreis (brutto)])</f>
        <v/>
      </c>
      <c r="M13" s="97">
        <f>L13*0.88</f>
        <v/>
      </c>
    </row>
    <row r="14">
      <c r="G14" s="97" t="n"/>
      <c r="H14" s="97">
        <f>IF(OR(erhalten[[#This Row],[Stückzahl]]="",erhalten[[#This Row],[Einzelpreis (brutto)]]=""),"",erhalten[[#This Row],[Stückzahl]]*erhalten[[#This Row],[Einzelpreis (brutto)]])</f>
        <v/>
      </c>
      <c r="J14" t="inlineStr">
        <is>
          <t>Summe:</t>
        </is>
      </c>
      <c r="K14">
        <f>SUM(K2:K13)</f>
        <v/>
      </c>
      <c r="L14" s="97">
        <f>SUM(L2:L13)</f>
        <v/>
      </c>
      <c r="M14" s="97">
        <f>L14*0.88</f>
        <v/>
      </c>
    </row>
    <row r="15">
      <c r="G15" s="97" t="n"/>
      <c r="H15" s="97">
        <f>IF(OR(erhalten[[#This Row],[Stückzahl]]="",erhalten[[#This Row],[Einzelpreis (brutto)]]=""),"",erhalten[[#This Row],[Stückzahl]]*erhalten[[#This Row],[Einzelpreis (brutto)]])</f>
        <v/>
      </c>
    </row>
    <row r="16">
      <c r="G16" s="97" t="n"/>
      <c r="H16" s="97">
        <f>IF(OR(erhalten[[#This Row],[Stückzahl]]="",erhalten[[#This Row],[Einzelpreis (brutto)]]=""),"",erhalten[[#This Row],[Stückzahl]]*erhalten[[#This Row],[Einzelpreis (brutto)]])</f>
        <v/>
      </c>
    </row>
    <row r="17">
      <c r="G17" s="97" t="n"/>
      <c r="H17" s="97">
        <f>IF(OR(erhalten[[#This Row],[Stückzahl]]="",erhalten[[#This Row],[Einzelpreis (brutto)]]=""),"",erhalten[[#This Row],[Stückzahl]]*erhalten[[#This Row],[Einzelpreis (brutto)]])</f>
        <v/>
      </c>
    </row>
    <row r="18">
      <c r="G18" s="97" t="n"/>
      <c r="H18" s="97">
        <f>IF(OR(erhalten[[#This Row],[Stückzahl]]="",erhalten[[#This Row],[Einzelpreis (brutto)]]=""),"",erhalten[[#This Row],[Stückzahl]]*erhalten[[#This Row],[Einzelpreis (brutto)]])</f>
        <v/>
      </c>
    </row>
    <row r="19">
      <c r="G19" s="97" t="n"/>
      <c r="H19" s="97">
        <f>IF(OR(erhalten[[#This Row],[Stückzahl]]="",erhalten[[#This Row],[Einzelpreis (brutto)]]=""),"",erhalten[[#This Row],[Stückzahl]]*erhalten[[#This Row],[Einzelpreis (brutto)]])</f>
        <v/>
      </c>
    </row>
    <row r="20">
      <c r="G20" s="97" t="n"/>
      <c r="H20" s="97">
        <f>IF(OR(erhalten[[#This Row],[Stückzahl]]="",erhalten[[#This Row],[Einzelpreis (brutto)]]=""),"",erhalten[[#This Row],[Stückzahl]]*erhalten[[#This Row],[Einzelpreis (brutto)]])</f>
        <v/>
      </c>
    </row>
    <row r="21">
      <c r="G21" s="97" t="n"/>
      <c r="H21" s="97">
        <f>IF(OR(erhalten[[#This Row],[Stückzahl]]="",erhalten[[#This Row],[Einzelpreis (brutto)]]=""),"",erhalten[[#This Row],[Stückzahl]]*erhalten[[#This Row],[Einzelpreis (brutto)]])</f>
        <v/>
      </c>
    </row>
    <row r="22">
      <c r="G22" s="97" t="n"/>
      <c r="H22" s="97">
        <f>IF(OR(erhalten[[#This Row],[Stückzahl]]="",erhalten[[#This Row],[Einzelpreis (brutto)]]=""),"",erhalten[[#This Row],[Stückzahl]]*erhalten[[#This Row],[Einzelpreis (brutto)]])</f>
        <v/>
      </c>
    </row>
    <row r="23">
      <c r="G23" s="97" t="n"/>
      <c r="H23" s="97">
        <f>IF(OR(erhalten[[#This Row],[Stückzahl]]="",erhalten[[#This Row],[Einzelpreis (brutto)]]=""),"",erhalten[[#This Row],[Stückzahl]]*erhalten[[#This Row],[Einzelpreis (brutto)]])</f>
        <v/>
      </c>
    </row>
    <row r="24">
      <c r="G24" s="97" t="n"/>
      <c r="H24" s="97">
        <f>IF(OR(erhalten[[#This Row],[Stückzahl]]="",erhalten[[#This Row],[Einzelpreis (brutto)]]=""),"",erhalten[[#This Row],[Stückzahl]]*erhalten[[#This Row],[Einzelpreis (brutto)]])</f>
        <v/>
      </c>
    </row>
    <row r="25">
      <c r="G25" s="97" t="n"/>
      <c r="H25" s="97">
        <f>IF(OR(erhalten[[#This Row],[Stückzahl]]="",erhalten[[#This Row],[Einzelpreis (brutto)]]=""),"",erhalten[[#This Row],[Stückzahl]]*erhalten[[#This Row],[Einzelpreis (brutto)]])</f>
        <v/>
      </c>
    </row>
    <row r="26">
      <c r="G26" s="97" t="n"/>
      <c r="H26" s="97">
        <f>IF(OR(erhalten[[#This Row],[Stückzahl]]="",erhalten[[#This Row],[Einzelpreis (brutto)]]=""),"",erhalten[[#This Row],[Stückzahl]]*erhalten[[#This Row],[Einzelpreis (brutto)]])</f>
        <v/>
      </c>
    </row>
    <row r="27">
      <c r="G27" s="97" t="n"/>
      <c r="H27" s="97">
        <f>IF(OR(erhalten[[#This Row],[Stückzahl]]="",erhalten[[#This Row],[Einzelpreis (brutto)]]=""),"",erhalten[[#This Row],[Stückzahl]]*erhalten[[#This Row],[Einzelpreis (brutto)]])</f>
        <v/>
      </c>
    </row>
    <row r="28">
      <c r="G28" s="97" t="n"/>
      <c r="H28" s="97">
        <f>IF(OR(erhalten[[#This Row],[Stückzahl]]="",erhalten[[#This Row],[Einzelpreis (brutto)]]=""),"",erhalten[[#This Row],[Stückzahl]]*erhalten[[#This Row],[Einzelpreis (brutto)]])</f>
        <v/>
      </c>
    </row>
    <row r="29">
      <c r="G29" s="97" t="n"/>
      <c r="H29" s="97">
        <f>IF(OR(erhalten[[#This Row],[Stückzahl]]="",erhalten[[#This Row],[Einzelpreis (brutto)]]=""),"",erhalten[[#This Row],[Stückzahl]]*erhalten[[#This Row],[Einzelpreis (brutto)]])</f>
        <v/>
      </c>
    </row>
    <row r="30">
      <c r="G30" s="97" t="n"/>
      <c r="H30" s="97">
        <f>IF(OR(erhalten[[#This Row],[Stückzahl]]="",erhalten[[#This Row],[Einzelpreis (brutto)]]=""),"",erhalten[[#This Row],[Stückzahl]]*erhalten[[#This Row],[Einzelpreis (brutto)]])</f>
        <v/>
      </c>
    </row>
    <row r="31">
      <c r="G31" s="97" t="n"/>
      <c r="H31" s="97">
        <f>IF(OR(erhalten[[#This Row],[Stückzahl]]="",erhalten[[#This Row],[Einzelpreis (brutto)]]=""),"",erhalten[[#This Row],[Stückzahl]]*erhalten[[#This Row],[Einzelpreis (brutto)]])</f>
        <v/>
      </c>
    </row>
    <row r="32">
      <c r="G32" s="97" t="n"/>
      <c r="H32" s="97">
        <f>IF(OR(erhalten[[#This Row],[Stückzahl]]="",erhalten[[#This Row],[Einzelpreis (brutto)]]=""),"",erhalten[[#This Row],[Stückzahl]]*erhalten[[#This Row],[Einzelpreis (brutto)]])</f>
        <v/>
      </c>
    </row>
    <row r="33">
      <c r="G33" s="97" t="n"/>
      <c r="H33" s="97">
        <f>IF(OR(erhalten[[#This Row],[Stückzahl]]="",erhalten[[#This Row],[Einzelpreis (brutto)]]=""),"",erhalten[[#This Row],[Stückzahl]]*erhalten[[#This Row],[Einzelpreis (brutto)]])</f>
        <v/>
      </c>
    </row>
    <row r="34">
      <c r="G34" s="97" t="n"/>
      <c r="H34" s="97">
        <f>IF(OR(erhalten[[#This Row],[Stückzahl]]="",erhalten[[#This Row],[Einzelpreis (brutto)]]=""),"",erhalten[[#This Row],[Stückzahl]]*erhalten[[#This Row],[Einzelpreis (brutto)]])</f>
        <v/>
      </c>
    </row>
    <row r="35">
      <c r="G35" s="97" t="n"/>
      <c r="H35" s="97">
        <f>IF(OR(erhalten[[#This Row],[Stückzahl]]="",erhalten[[#This Row],[Einzelpreis (brutto)]]=""),"",erhalten[[#This Row],[Stückzahl]]*erhalten[[#This Row],[Einzelpreis (brutto)]])</f>
        <v/>
      </c>
    </row>
    <row r="36">
      <c r="G36" s="97" t="n"/>
      <c r="H36" s="97">
        <f>IF(OR(erhalten[[#This Row],[Stückzahl]]="",erhalten[[#This Row],[Einzelpreis (brutto)]]=""),"",erhalten[[#This Row],[Stückzahl]]*erhalten[[#This Row],[Einzelpreis (brutto)]])</f>
        <v/>
      </c>
    </row>
    <row r="37">
      <c r="G37" s="97" t="n"/>
      <c r="H37" s="97">
        <f>IF(OR(erhalten[[#This Row],[Stückzahl]]="",erhalten[[#This Row],[Einzelpreis (brutto)]]=""),"",erhalten[[#This Row],[Stückzahl]]*erhalten[[#This Row],[Einzelpreis (brutto)]])</f>
        <v/>
      </c>
    </row>
    <row r="38">
      <c r="G38" s="97" t="n"/>
      <c r="H38" s="97">
        <f>IF(OR(erhalten[[#This Row],[Stückzahl]]="",erhalten[[#This Row],[Einzelpreis (brutto)]]=""),"",erhalten[[#This Row],[Stückzahl]]*erhalten[[#This Row],[Einzelpreis (brutto)]])</f>
        <v/>
      </c>
    </row>
    <row r="39">
      <c r="G39" s="97" t="n"/>
      <c r="H39" s="97">
        <f>IF(OR(erhalten[[#This Row],[Stückzahl]]="",erhalten[[#This Row],[Einzelpreis (brutto)]]=""),"",erhalten[[#This Row],[Stückzahl]]*erhalten[[#This Row],[Einzelpreis (brutto)]])</f>
        <v/>
      </c>
    </row>
    <row r="40">
      <c r="G40" s="97" t="n"/>
      <c r="H40" s="97">
        <f>IF(OR(erhalten[[#This Row],[Stückzahl]]="",erhalten[[#This Row],[Einzelpreis (brutto)]]=""),"",erhalten[[#This Row],[Stückzahl]]*erhalten[[#This Row],[Einzelpreis (brutto)]])</f>
        <v/>
      </c>
    </row>
    <row r="41">
      <c r="G41" s="97" t="n"/>
      <c r="H41" s="97">
        <f>IF(OR(erhalten[[#This Row],[Stückzahl]]="",erhalten[[#This Row],[Einzelpreis (brutto)]]=""),"",erhalten[[#This Row],[Stückzahl]]*erhalten[[#This Row],[Einzelpreis (brutto)]])</f>
        <v/>
      </c>
    </row>
    <row r="42">
      <c r="G42" s="97" t="n"/>
      <c r="H42" s="97">
        <f>IF(OR(erhalten[[#This Row],[Stückzahl]]="",erhalten[[#This Row],[Einzelpreis (brutto)]]=""),"",erhalten[[#This Row],[Stückzahl]]*erhalten[[#This Row],[Einzelpreis (brutto)]])</f>
        <v/>
      </c>
    </row>
  </sheetData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sba-dashboard</dc:creator>
  <dc:title>Bestand- und Nachbestellungsliste 2026 (Vorlage)</dc:title>
  <dc:description>Enthält die Excel-Struktur ohne Arbeitsdaten.</dc:description>
  <dc:subject>Leere Vorlage für das Schulbuchausleihe-Dashboard</dc:subject>
  <dcterms:created xsi:type="dcterms:W3CDTF">2025-06-19T17:00:03Z</dcterms:created>
  <dcterms:modified xsi:type="dcterms:W3CDTF">2026-09-04T16:21:35Z</dcterms:modified>
  <cp:lastModifiedBy>sba-dashboard</cp:lastModifiedBy>
  <cp:keywords/>
  <cp:lastPrinted>2026-06-30T06:29:15Z</cp:lastPrinted>
</cp:coreProperties>
</file>